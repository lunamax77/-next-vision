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御見積書11月" sheetId="1" state="visible" r:id="rId1"/>
    <sheet xmlns:r="http://schemas.openxmlformats.org/officeDocument/2006/relationships" name="御見積書 12月-3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年&quot;m&quot;月&quot;d&quot;日&quot;"/>
    <numFmt numFmtId="165" formatCode="[$￥-411]#,##0;[Red]\-[$￥-411]#,##0"/>
    <numFmt numFmtId="166" formatCode="\\#,##0_);[Red]&quot;(\&quot;#,##0\)"/>
    <numFmt numFmtId="167" formatCode="0_);[Red]\(0\)"/>
    <numFmt numFmtId="168" formatCode="\\#,##0;[Red]&quot;\-&quot;#,##0"/>
  </numFmts>
  <fonts count="32">
    <font>
      <name val="Calibri"/>
      <color rgb="FF000000"/>
      <sz val="11"/>
      <scheme val="minor"/>
    </font>
    <font>
      <name val="游ゴシック"/>
      <color theme="1"/>
      <sz val="11"/>
    </font>
    <font>
      <name val="游ゴシック"/>
      <i val="1"/>
      <color theme="1"/>
      <sz val="11"/>
    </font>
    <font>
      <name val="游ゴシック"/>
      <b val="1"/>
      <i val="1"/>
      <color theme="1"/>
      <sz val="9"/>
    </font>
    <font>
      <name val="游ゴシック"/>
      <b val="1"/>
      <color theme="1"/>
      <sz val="22"/>
    </font>
    <font/>
    <font>
      <name val="MS PMincho"/>
      <b val="1"/>
      <color theme="1"/>
      <sz val="18"/>
    </font>
    <font>
      <name val="游ゴシック"/>
      <color theme="1"/>
      <sz val="12"/>
      <u val="single"/>
    </font>
    <font>
      <name val="游ゴシック"/>
      <color theme="1"/>
      <sz val="8"/>
      <u val="single"/>
    </font>
    <font>
      <name val="游ゴシック"/>
      <color theme="1"/>
      <sz val="9"/>
      <u val="single"/>
    </font>
    <font>
      <name val="游ゴシック"/>
      <b val="1"/>
      <color theme="1"/>
      <sz val="6"/>
    </font>
    <font>
      <name val="游ゴシック"/>
      <b val="1"/>
      <i val="1"/>
      <color theme="1"/>
      <sz val="16"/>
    </font>
    <font>
      <name val="游ゴシック"/>
      <b val="1"/>
      <i val="1"/>
      <color theme="1"/>
      <sz val="14"/>
    </font>
    <font>
      <name val="游ゴシック"/>
      <b val="1"/>
      <i val="1"/>
      <color theme="1"/>
      <sz val="14"/>
      <u val="single"/>
    </font>
    <font>
      <name val="游ゴシック"/>
      <b val="1"/>
      <color theme="1"/>
      <sz val="8"/>
    </font>
    <font>
      <name val="游ゴシック"/>
      <i val="1"/>
      <color theme="1"/>
      <sz val="7"/>
    </font>
    <font>
      <name val="游ゴシック"/>
      <i val="1"/>
      <color rgb="FF3F3F3F"/>
      <sz val="7"/>
    </font>
    <font>
      <name val="游ゴシック"/>
      <i val="1"/>
      <color theme="1"/>
      <sz val="6"/>
    </font>
    <font>
      <name val="游ゴシック"/>
      <color theme="1"/>
      <sz val="7"/>
    </font>
    <font>
      <name val="游ゴシック"/>
      <color rgb="FF3F3F3F"/>
      <sz val="7"/>
    </font>
    <font>
      <name val="游ゴシック"/>
      <color rgb="FF3F3F3F"/>
      <sz val="6"/>
    </font>
    <font>
      <name val="游ゴシック"/>
      <color theme="1"/>
      <sz val="6"/>
    </font>
    <font>
      <name val="游ゴシック"/>
      <i val="1"/>
      <color rgb="FF3F3F3F"/>
      <sz val="6"/>
    </font>
    <font>
      <name val="游ゴシック"/>
      <color theme="1"/>
      <sz val="10"/>
    </font>
    <font>
      <name val="游ゴシック"/>
      <i val="1"/>
      <color theme="1"/>
      <sz val="9"/>
    </font>
    <font>
      <name val="游ゴシック"/>
      <color rgb="FF3F3F3F"/>
      <sz val="9"/>
    </font>
    <font>
      <name val="游ゴシック"/>
      <color rgb="FF3F3F3F"/>
      <sz val="8"/>
    </font>
    <font>
      <name val="游ゴシック"/>
      <b val="1"/>
      <i val="1"/>
      <color theme="1"/>
      <sz val="8"/>
    </font>
    <font>
      <name val="游ゴシック"/>
      <i val="1"/>
      <color theme="1"/>
      <sz val="10"/>
    </font>
    <font>
      <name val="游ゴシック"/>
      <i val="1"/>
      <color rgb="FF000000"/>
      <sz val="10"/>
    </font>
    <font>
      <name val="Meiryo"/>
      <color theme="1"/>
      <sz val="10"/>
    </font>
    <font>
      <name val="Meiryo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applyAlignment="1" pivotButton="0" quotePrefix="0" xfId="0">
      <alignment horizontal="center" vertical="center"/>
    </xf>
    <xf numFmtId="0" fontId="5" fillId="0" borderId="5" pivotButton="0" quotePrefix="0" xfId="0"/>
    <xf numFmtId="165" fontId="12" fillId="0" borderId="4" applyAlignment="1" pivotButton="0" quotePrefix="0" xfId="0">
      <alignment horizontal="center" vertical="center"/>
    </xf>
    <xf numFmtId="0" fontId="5" fillId="0" borderId="6" pivotButton="0" quotePrefix="0" xfId="0"/>
    <xf numFmtId="165" fontId="13" fillId="0" borderId="0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14" fillId="0" borderId="0" pivotButton="0" quotePrefix="0" xfId="0"/>
    <xf numFmtId="0" fontId="3" fillId="3" borderId="10" applyAlignment="1" pivotButton="0" quotePrefix="0" xfId="0">
      <alignment vertical="center"/>
    </xf>
    <xf numFmtId="0" fontId="3" fillId="3" borderId="11" applyAlignment="1" pivotButton="0" quotePrefix="0" xfId="0">
      <alignment horizontal="center" vertical="center"/>
    </xf>
    <xf numFmtId="0" fontId="5" fillId="0" borderId="12" pivotButton="0" quotePrefix="0" xfId="0"/>
    <xf numFmtId="0" fontId="3" fillId="3" borderId="10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 shrinkToFit="1"/>
    </xf>
    <xf numFmtId="0" fontId="5" fillId="0" borderId="16" pivotButton="0" quotePrefix="0" xfId="0"/>
    <xf numFmtId="0" fontId="15" fillId="0" borderId="10" applyAlignment="1" pivotButton="0" quotePrefix="0" xfId="0">
      <alignment horizontal="center" vertical="center" shrinkToFit="1"/>
    </xf>
    <xf numFmtId="166" fontId="16" fillId="0" borderId="17" applyAlignment="1" pivotButton="0" quotePrefix="0" xfId="0">
      <alignment horizontal="center" vertical="center"/>
    </xf>
    <xf numFmtId="166" fontId="17" fillId="0" borderId="10" applyAlignment="1" pivotButton="0" quotePrefix="0" xfId="0">
      <alignment horizontal="left" vertical="center"/>
    </xf>
    <xf numFmtId="0" fontId="18" fillId="0" borderId="15" applyAlignment="1" pivotButton="0" quotePrefix="0" xfId="0">
      <alignment horizontal="center" vertical="center" shrinkToFit="1"/>
    </xf>
    <xf numFmtId="167" fontId="19" fillId="0" borderId="18" applyAlignment="1" pivotButton="0" quotePrefix="0" xfId="0">
      <alignment horizontal="center" vertical="center"/>
    </xf>
    <xf numFmtId="166" fontId="19" fillId="0" borderId="17" applyAlignment="1" pivotButton="0" quotePrefix="0" xfId="0">
      <alignment horizontal="center" vertical="center"/>
    </xf>
    <xf numFmtId="166" fontId="20" fillId="0" borderId="10" applyAlignment="1" pivotButton="0" quotePrefix="0" xfId="0">
      <alignment horizontal="center" wrapText="1"/>
    </xf>
    <xf numFmtId="0" fontId="21" fillId="0" borderId="15" applyAlignment="1" pivotButton="0" quotePrefix="0" xfId="0">
      <alignment horizontal="center" vertical="center" shrinkToFit="1"/>
    </xf>
    <xf numFmtId="166" fontId="22" fillId="0" borderId="10" applyAlignment="1" pivotButton="0" quotePrefix="0" xfId="0">
      <alignment horizontal="left" vertical="center" wrapText="1"/>
    </xf>
    <xf numFmtId="0" fontId="3" fillId="3" borderId="19" applyAlignment="1" pivotButton="0" quotePrefix="0" xfId="0">
      <alignment horizontal="center" vertical="center"/>
    </xf>
    <xf numFmtId="166" fontId="16" fillId="0" borderId="17" applyAlignment="1" pivotButton="0" quotePrefix="0" xfId="0">
      <alignment horizontal="center" vertical="center"/>
    </xf>
    <xf numFmtId="166" fontId="16" fillId="0" borderId="20" applyAlignment="1" pivotButton="0" quotePrefix="0" xfId="0">
      <alignment horizontal="center" vertical="center"/>
    </xf>
    <xf numFmtId="166" fontId="22" fillId="0" borderId="10" applyAlignment="1" pivotButton="0" quotePrefix="0" xfId="0">
      <alignment vertical="center" wrapText="1"/>
    </xf>
    <xf numFmtId="0" fontId="23" fillId="0" borderId="15" applyAlignment="1" pivotButton="0" quotePrefix="0" xfId="0">
      <alignment horizontal="center" vertical="center" shrinkToFit="1"/>
    </xf>
    <xf numFmtId="0" fontId="24" fillId="0" borderId="10" applyAlignment="1" pivotButton="0" quotePrefix="0" xfId="0">
      <alignment horizontal="center" vertical="center" shrinkToFit="1"/>
    </xf>
    <xf numFmtId="167" fontId="25" fillId="0" borderId="18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166" fontId="25" fillId="0" borderId="20" applyAlignment="1" pivotButton="0" quotePrefix="0" xfId="0">
      <alignment horizontal="center" vertical="center"/>
    </xf>
    <xf numFmtId="166" fontId="26" fillId="0" borderId="10" applyAlignment="1" pivotButton="0" quotePrefix="0" xfId="0">
      <alignment horizontal="center"/>
    </xf>
    <xf numFmtId="166" fontId="26" fillId="0" borderId="21" applyAlignment="1" pivotButton="0" quotePrefix="0" xfId="0">
      <alignment horizontal="center"/>
    </xf>
    <xf numFmtId="0" fontId="27" fillId="3" borderId="15" applyAlignment="1" pivotButton="0" quotePrefix="0" xfId="0">
      <alignment horizontal="center"/>
    </xf>
    <xf numFmtId="0" fontId="5" fillId="0" borderId="22" pivotButton="0" quotePrefix="0" xfId="0"/>
    <xf numFmtId="0" fontId="24" fillId="0" borderId="15" applyAlignment="1" pivotButton="0" quotePrefix="0" xfId="0">
      <alignment horizontal="left" vertical="top"/>
    </xf>
    <xf numFmtId="0" fontId="2" fillId="0" borderId="23" applyAlignment="1" pivotButton="0" quotePrefix="0" xfId="0">
      <alignment horizontal="right" vertical="center"/>
    </xf>
    <xf numFmtId="0" fontId="5" fillId="0" borderId="24" pivotButton="0" quotePrefix="0" xfId="0"/>
    <xf numFmtId="0" fontId="5" fillId="0" borderId="25" pivotButton="0" quotePrefix="0" xfId="0"/>
    <xf numFmtId="168" fontId="28" fillId="0" borderId="23" applyAlignment="1" pivotButton="0" quotePrefix="0" xfId="0">
      <alignment horizontal="right" vertical="center"/>
    </xf>
    <xf numFmtId="168" fontId="28" fillId="0" borderId="21" pivotButton="0" quotePrefix="0" xfId="0"/>
    <xf numFmtId="0" fontId="2" fillId="0" borderId="15" applyAlignment="1" pivotButton="0" quotePrefix="0" xfId="0">
      <alignment horizontal="right" vertical="center"/>
    </xf>
    <xf numFmtId="166" fontId="29" fillId="0" borderId="10" applyAlignment="1" pivotButton="0" quotePrefix="0" xfId="0">
      <alignment vertical="center"/>
    </xf>
    <xf numFmtId="168" fontId="28" fillId="0" borderId="10" pivotButton="0" quotePrefix="0" xfId="0"/>
    <xf numFmtId="0" fontId="23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0" fillId="0" borderId="0" pivotButton="0" quotePrefix="0" xfId="0"/>
    <xf numFmtId="0" fontId="4" fillId="2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0" fillId="0" borderId="5" pivotButton="0" quotePrefix="0" xfId="0"/>
    <xf numFmtId="165" fontId="12" fillId="0" borderId="2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3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6" pivotButton="0" quotePrefix="0" xfId="0"/>
    <xf numFmtId="0" fontId="18" fillId="0" borderId="10" applyAlignment="1" pivotButton="0" quotePrefix="0" xfId="0">
      <alignment horizontal="center" vertical="center" shrinkToFit="1"/>
    </xf>
    <xf numFmtId="0" fontId="21" fillId="0" borderId="10" applyAlignment="1" pivotButton="0" quotePrefix="0" xfId="0">
      <alignment horizontal="center" vertical="center" shrinkToFit="1"/>
    </xf>
    <xf numFmtId="0" fontId="23" fillId="0" borderId="10" applyAlignment="1" pivotButton="0" quotePrefix="0" xfId="0">
      <alignment horizontal="center" vertical="center" shrinkToFit="1"/>
    </xf>
    <xf numFmtId="0" fontId="27" fillId="3" borderId="10" applyAlignment="1" pivotButton="0" quotePrefix="0" xfId="0">
      <alignment horizontal="center"/>
    </xf>
    <xf numFmtId="0" fontId="0" fillId="0" borderId="22" pivotButton="0" quotePrefix="0" xfId="0"/>
    <xf numFmtId="0" fontId="24" fillId="0" borderId="10" applyAlignment="1" pivotButton="0" quotePrefix="0" xfId="0">
      <alignment horizontal="left" vertical="top"/>
    </xf>
    <xf numFmtId="0" fontId="2" fillId="0" borderId="21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5" pivotButton="0" quotePrefix="0" xfId="0"/>
    <xf numFmtId="0" fontId="2" fillId="0" borderId="10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6</col>
      <colOff>971550</colOff>
      <row>11</row>
      <rowOff>9525</rowOff>
    </from>
    <ext cx="904875" cy="8382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200025</colOff>
      <row>5</row>
      <rowOff>95250</rowOff>
    </from>
    <ext cx="1143000" cy="752475"/>
    <pic>
      <nvPicPr>
        <cNvPr id="0" name="image2.png" descr="コンパクトディスク, 凧 が含まれている画像&#10;&#10;自動的に生成された説明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6</col>
      <colOff>971550</colOff>
      <row>11</row>
      <rowOff>9525</rowOff>
    </from>
    <ext cx="904875" cy="8382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200025</colOff>
      <row>5</row>
      <rowOff>95250</rowOff>
    </from>
    <ext cx="1143000" cy="752475"/>
    <pic>
      <nvPicPr>
        <cNvPr id="0" name="image2.png" descr="コンパクトディスク, 凧 が含まれている画像&#10;&#10;自動的に生成された説明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J42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67" min="1" max="1"/>
    <col width="17.43" customWidth="1" style="67" min="2" max="2"/>
    <col width="4.43" customWidth="1" style="67" min="3" max="3"/>
    <col width="6.86" customWidth="1" style="67" min="4" max="5"/>
    <col width="12.71" customWidth="1" style="67" min="6" max="7"/>
    <col width="25.43" customWidth="1" style="67" min="8" max="8"/>
    <col width="9.140000000000001" customWidth="1" style="67" min="9" max="9"/>
    <col width="10.71" customWidth="1" style="67" min="10" max="10"/>
  </cols>
  <sheetData>
    <row r="1" ht="21" customHeight="1" s="67">
      <c r="A1" s="1" t="n"/>
      <c r="B1" s="1" t="n"/>
      <c r="C1" s="1" t="n"/>
      <c r="D1" s="1" t="n"/>
      <c r="E1" s="2" t="n"/>
      <c r="F1" s="2" t="n"/>
      <c r="G1" s="3" t="inlineStr">
        <is>
          <t>日付</t>
        </is>
      </c>
      <c r="H1" s="4" t="n">
        <v>46315</v>
      </c>
    </row>
    <row r="2" ht="18.75" customHeight="1" s="67">
      <c r="A2" s="1" t="n"/>
      <c r="B2" s="1" t="n"/>
      <c r="C2" s="1" t="n"/>
      <c r="D2" s="1" t="n"/>
      <c r="E2" s="2" t="n"/>
      <c r="F2" s="2" t="n"/>
      <c r="G2" s="3" t="inlineStr">
        <is>
          <t>担当</t>
        </is>
      </c>
      <c r="H2" s="5" t="inlineStr">
        <is>
          <t>竹村英哲</t>
        </is>
      </c>
    </row>
    <row r="3" ht="6.75" customHeight="1" s="67">
      <c r="A3" s="1" t="n"/>
      <c r="B3" s="1" t="n"/>
      <c r="C3" s="1" t="n"/>
      <c r="D3" s="1" t="n"/>
      <c r="E3" s="1" t="n"/>
      <c r="F3" s="1" t="n"/>
      <c r="G3" s="1" t="n"/>
      <c r="H3" s="1" t="n"/>
    </row>
    <row r="4" ht="26.25" customHeight="1" s="67">
      <c r="A4" s="68" t="inlineStr">
        <is>
          <t>御見積書</t>
        </is>
      </c>
      <c r="I4" s="9" t="n"/>
      <c r="J4" s="9" t="n"/>
    </row>
    <row r="5" ht="8.25" customHeight="1" s="67">
      <c r="A5" s="1" t="n"/>
      <c r="B5" s="1" t="n"/>
      <c r="C5" s="1" t="n"/>
      <c r="D5" s="1" t="n"/>
      <c r="E5" s="1" t="n"/>
      <c r="F5" s="1" t="n"/>
      <c r="G5" s="1" t="n"/>
      <c r="H5" s="1" t="n"/>
    </row>
    <row r="6" ht="21.75" customHeight="1" s="67">
      <c r="A6" s="10" t="inlineStr">
        <is>
          <t>株式会社NTTドコモ 御中</t>
        </is>
      </c>
      <c r="B6" s="10" t="n"/>
      <c r="C6" s="10" t="n"/>
      <c r="D6" s="10" t="n"/>
      <c r="E6" s="10" t="n"/>
      <c r="F6" s="10" t="n"/>
      <c r="G6" s="1" t="n"/>
      <c r="H6" s="1" t="n"/>
    </row>
    <row r="7" ht="9" customHeight="1" s="67">
      <c r="A7" s="1" t="n"/>
      <c r="B7" s="1" t="n"/>
      <c r="C7" s="1" t="n"/>
      <c r="D7" s="1" t="n"/>
      <c r="E7" s="1" t="n"/>
      <c r="F7" s="1" t="n"/>
      <c r="G7" s="1" t="n"/>
      <c r="H7" s="1" t="n"/>
    </row>
    <row r="8" ht="17.25" customHeight="1" s="67">
      <c r="A8" s="11" t="inlineStr">
        <is>
          <t>件名：クリスマスワークショップパッケージについて（10セット）</t>
        </is>
      </c>
      <c r="B8" s="1" t="n"/>
      <c r="C8" s="1" t="n"/>
      <c r="D8" s="1" t="n"/>
      <c r="E8" s="1" t="n"/>
      <c r="F8" s="1" t="n"/>
      <c r="G8" s="1" t="n"/>
      <c r="H8" s="1" t="n"/>
    </row>
    <row r="9" ht="9" customHeight="1" s="67">
      <c r="A9" s="1" t="n"/>
      <c r="B9" s="1" t="n"/>
      <c r="C9" s="1" t="n"/>
      <c r="D9" s="1" t="n"/>
      <c r="E9" s="1" t="n"/>
      <c r="F9" s="1" t="n"/>
      <c r="G9" s="1" t="n"/>
      <c r="H9" s="1" t="n"/>
    </row>
    <row r="10" ht="16.5" customHeight="1" s="67">
      <c r="A10" s="12" t="inlineStr">
        <is>
          <t>下記の通り御見積申し上げます。</t>
        </is>
      </c>
      <c r="B10" s="1" t="n"/>
      <c r="C10" s="1" t="n"/>
      <c r="D10" s="1" t="n"/>
      <c r="E10" s="1" t="n"/>
      <c r="F10" s="1" t="n"/>
      <c r="G10" s="13" t="inlineStr">
        <is>
          <t xml:space="preserve">　　　　株式会社DreamCreation</t>
        </is>
      </c>
      <c r="H10" s="1" t="n"/>
    </row>
    <row r="11" ht="16.5" customHeight="1" s="67">
      <c r="A11" s="1" t="n"/>
      <c r="B11" s="1" t="n"/>
      <c r="C11" s="1" t="n"/>
      <c r="D11" s="1" t="n"/>
      <c r="E11" s="1" t="n"/>
      <c r="F11" s="1" t="n"/>
      <c r="G11" s="13" t="inlineStr">
        <is>
          <t xml:space="preserve">　　　　〒550-0015　大阪府大阪市西区南堀江1-10-1</t>
        </is>
      </c>
      <c r="H11" s="1" t="n"/>
    </row>
    <row r="12" ht="16.5" customHeight="1" s="67">
      <c r="A12" s="69" t="inlineStr">
        <is>
          <t>御見積金額</t>
        </is>
      </c>
      <c r="B12" s="70" t="n"/>
      <c r="C12" s="71">
        <f>SUM(G33)</f>
        <v/>
      </c>
      <c r="D12" s="72" t="n"/>
      <c r="E12" s="70" t="n"/>
      <c r="F12" s="18" t="n"/>
      <c r="G12" s="13" t="inlineStr">
        <is>
          <t xml:space="preserve">　　　　　KT堀江801</t>
        </is>
      </c>
      <c r="H12" s="1" t="n"/>
    </row>
    <row r="13" ht="16.5" customHeight="1" s="67">
      <c r="A13" s="73" t="n"/>
      <c r="B13" s="74" t="n"/>
      <c r="C13" s="73" t="n"/>
      <c r="D13" s="75" t="n"/>
      <c r="E13" s="74" t="n"/>
      <c r="F13" s="18" t="n"/>
      <c r="G13" s="13" t="inlineStr">
        <is>
          <t xml:space="preserve">　　　　TEL：06-4967-1038</t>
        </is>
      </c>
      <c r="H13" s="1" t="n"/>
    </row>
    <row r="14" ht="16.5" customHeight="1" s="67">
      <c r="A14" s="1" t="n"/>
      <c r="B14" s="1" t="n"/>
      <c r="C14" s="1" t="n"/>
      <c r="D14" s="1" t="n"/>
      <c r="E14" s="1" t="n"/>
      <c r="F14" s="1" t="n"/>
      <c r="G14" s="13" t="inlineStr">
        <is>
          <t xml:space="preserve">　　　　MAIL：data@d-creation-o.com</t>
        </is>
      </c>
      <c r="H14" s="1" t="n"/>
    </row>
    <row r="15" ht="20.25" customHeight="1" s="67">
      <c r="A15" s="1" t="inlineStr">
        <is>
          <t>実施期間：2026年11月28日～2026年12月25日（4週間）</t>
        </is>
      </c>
      <c r="B15" s="1" t="n"/>
      <c r="C15" s="1" t="n"/>
      <c r="D15" s="1" t="n"/>
      <c r="E15" s="1" t="n"/>
      <c r="F15" s="1" t="n"/>
      <c r="G15" s="22" t="n"/>
      <c r="H15" s="1" t="n"/>
    </row>
    <row r="16" ht="9.75" customHeight="1" s="67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.75" customHeight="1" s="67">
      <c r="A17" s="23" t="inlineStr">
        <is>
          <t>No</t>
        </is>
      </c>
      <c r="B17" s="76" t="inlineStr">
        <is>
          <t>レンタル費　御見積内容</t>
        </is>
      </c>
      <c r="C17" s="77" t="n"/>
      <c r="D17" s="26" t="inlineStr">
        <is>
          <t>数量</t>
        </is>
      </c>
      <c r="E17" s="27" t="inlineStr">
        <is>
          <t>日数</t>
        </is>
      </c>
      <c r="F17" s="26" t="inlineStr">
        <is>
          <t>単価</t>
        </is>
      </c>
      <c r="G17" s="28" t="inlineStr">
        <is>
          <t>金額</t>
        </is>
      </c>
      <c r="H17" s="26" t="inlineStr">
        <is>
          <t>摘要</t>
        </is>
      </c>
    </row>
    <row r="18" ht="30.75" customHeight="1" s="67">
      <c r="A18" s="29" t="n">
        <v>1</v>
      </c>
      <c r="B18" s="32" t="inlineStr">
        <is>
          <t>スノードームキット（第1・4週）</t>
        </is>
      </c>
      <c r="C18" s="78" t="n"/>
      <c r="D18" s="32" t="n">
        <v>10</v>
      </c>
      <c r="E18" s="32" t="n">
        <v>1</v>
      </c>
      <c r="F18" s="42" t="n">
        <v>200000</v>
      </c>
      <c r="G18" s="42" t="n">
        <v>2000000</v>
      </c>
      <c r="H18" s="34" t="inlineStr">
        <is>
          <t>1地区300個/週×2週=600個</t>
        </is>
      </c>
    </row>
    <row r="19" ht="23.25" customHeight="1" s="67">
      <c r="A19" s="29" t="n">
        <v>2</v>
      </c>
      <c r="B19" s="79" t="inlineStr">
        <is>
          <t>スクイーズキット（第2・3週）</t>
        </is>
      </c>
      <c r="C19" s="78" t="n"/>
      <c r="D19" s="32" t="n">
        <v>10</v>
      </c>
      <c r="E19" s="36" t="n">
        <v>1</v>
      </c>
      <c r="F19" s="37" t="n">
        <v>200000</v>
      </c>
      <c r="G19" s="37" t="n">
        <v>2000000</v>
      </c>
      <c r="H19" s="38" t="inlineStr">
        <is>
          <t>1地区300個/週×2週=600個</t>
        </is>
      </c>
    </row>
    <row r="20" ht="25.5" customHeight="1" s="67">
      <c r="A20" s="29" t="n">
        <v>3</v>
      </c>
      <c r="B20" s="80" t="inlineStr">
        <is>
          <t>販促物一式（クリスマスアーチ・B0ポスター10枚・開催中ツール・コスプレ）</t>
        </is>
      </c>
      <c r="C20" s="78" t="n"/>
      <c r="D20" s="32" t="n">
        <v>10</v>
      </c>
      <c r="E20" s="32" t="n">
        <v>1</v>
      </c>
      <c r="F20" s="42" t="n">
        <v>80000</v>
      </c>
      <c r="G20" s="42" t="n">
        <v>800000</v>
      </c>
      <c r="H20" s="40" t="inlineStr">
        <is>
          <t>アーチは期間中レンタル・終了後返却</t>
        </is>
      </c>
    </row>
    <row r="21" ht="23.25" customHeight="1" s="67">
      <c r="A21" s="29" t="n">
        <v>4</v>
      </c>
      <c r="B21" s="79" t="inlineStr">
        <is>
          <t>管理運営費</t>
        </is>
      </c>
      <c r="C21" s="78" t="n"/>
      <c r="D21" s="32" t="n">
        <v>10</v>
      </c>
      <c r="E21" s="32" t="n">
        <v>1</v>
      </c>
      <c r="F21" s="42" t="n">
        <v>20000</v>
      </c>
      <c r="G21" s="42" t="n">
        <v>200000</v>
      </c>
      <c r="H21" s="40" t="n"/>
    </row>
    <row r="22" ht="15.75" customHeight="1" s="67">
      <c r="A22" s="23" t="inlineStr">
        <is>
          <t>No</t>
        </is>
      </c>
      <c r="B22" s="76" t="inlineStr">
        <is>
          <t>運送費　御見積内容</t>
        </is>
      </c>
      <c r="C22" s="77" t="n"/>
      <c r="D22" s="26" t="inlineStr">
        <is>
          <t>数量</t>
        </is>
      </c>
      <c r="E22" s="27" t="inlineStr">
        <is>
          <t>日数</t>
        </is>
      </c>
      <c r="F22" s="26" t="inlineStr">
        <is>
          <t>単価</t>
        </is>
      </c>
      <c r="G22" s="28" t="inlineStr">
        <is>
          <t>金額</t>
        </is>
      </c>
      <c r="H22" s="41" t="inlineStr">
        <is>
          <t>摘要</t>
        </is>
      </c>
    </row>
    <row r="23" ht="30" customHeight="1" s="67">
      <c r="A23" s="29" t="n">
        <v>5</v>
      </c>
      <c r="B23" s="32" t="inlineStr">
        <is>
          <t>配送料（10地区 往復）</t>
        </is>
      </c>
      <c r="C23" s="78" t="n"/>
      <c r="D23" s="32" t="n">
        <v>10</v>
      </c>
      <c r="E23" s="32" t="n">
        <v>1</v>
      </c>
      <c r="F23" s="42" t="inlineStr">
        <is>
          <t>別途</t>
        </is>
      </c>
      <c r="G23" s="43" t="inlineStr">
        <is>
          <t>別途請求</t>
        </is>
      </c>
      <c r="H23" s="40" t="inlineStr">
        <is>
          <t>北海道〜九州 10地区・実費</t>
        </is>
      </c>
    </row>
    <row r="24" ht="23.25" customHeight="1" s="67">
      <c r="A24" s="29" t="n">
        <v>6</v>
      </c>
      <c r="B24" s="79" t="n"/>
      <c r="C24" s="78" t="n"/>
      <c r="D24" s="32" t="n"/>
      <c r="E24" s="32" t="n"/>
      <c r="F24" s="42" t="n"/>
      <c r="G24" s="43" t="n"/>
      <c r="H24" s="44" t="inlineStr">
        <is>
          <t>※配送料は概算となります。　
ご請求時には実費請求とさせていただきます。</t>
        </is>
      </c>
    </row>
    <row r="25" ht="23.25" customHeight="1" s="67">
      <c r="A25" s="29" t="n">
        <v>7</v>
      </c>
      <c r="B25" s="79" t="n"/>
      <c r="C25" s="78" t="n"/>
      <c r="D25" s="32" t="n"/>
      <c r="E25" s="32" t="n"/>
      <c r="F25" s="42" t="n"/>
      <c r="G25" s="43" t="n"/>
      <c r="H25" s="40" t="n"/>
    </row>
    <row r="26" ht="23.25" customHeight="1" s="67">
      <c r="A26" s="29" t="n">
        <v>8</v>
      </c>
      <c r="B26" s="81" t="n"/>
      <c r="C26" s="78" t="n"/>
      <c r="D26" s="46" t="n"/>
      <c r="E26" s="47" t="n"/>
      <c r="F26" s="48" t="n"/>
      <c r="G26" s="49" t="n"/>
      <c r="H26" s="50" t="n"/>
    </row>
    <row r="27" ht="23.25" customHeight="1" s="67">
      <c r="A27" s="29" t="n">
        <v>9</v>
      </c>
      <c r="B27" s="81" t="n"/>
      <c r="C27" s="78" t="n"/>
      <c r="D27" s="46" t="n"/>
      <c r="E27" s="47" t="n"/>
      <c r="F27" s="48" t="n"/>
      <c r="G27" s="48" t="n"/>
      <c r="H27" s="51" t="n"/>
    </row>
    <row r="28" ht="15.75" customHeight="1" s="67">
      <c r="A28" s="82" t="inlineStr">
        <is>
          <t>備考</t>
        </is>
      </c>
      <c r="B28" s="83" t="n"/>
      <c r="C28" s="83" t="n"/>
      <c r="D28" s="83" t="n"/>
      <c r="E28" s="83" t="n"/>
      <c r="F28" s="83" t="n"/>
      <c r="G28" s="83" t="n"/>
      <c r="H28" s="78" t="n"/>
    </row>
    <row r="29" ht="37.5" customHeight="1" s="67">
      <c r="A29" s="84" t="n"/>
      <c r="B29" s="83" t="n"/>
      <c r="C29" s="83" t="n"/>
      <c r="D29" s="83" t="n"/>
      <c r="E29" s="83" t="n"/>
      <c r="F29" s="83" t="n"/>
      <c r="G29" s="83" t="n"/>
      <c r="H29" s="78" t="n"/>
    </row>
    <row r="30" ht="13.5" customHeight="1" s="67">
      <c r="A30" s="85" t="inlineStr">
        <is>
          <t>小計</t>
        </is>
      </c>
      <c r="B30" s="86" t="n"/>
      <c r="C30" s="86" t="n"/>
      <c r="D30" s="86" t="n"/>
      <c r="E30" s="86" t="n"/>
      <c r="F30" s="87" t="n"/>
      <c r="G30" s="58">
        <f>SUM(G18:G21,G23:G25)</f>
        <v/>
      </c>
      <c r="H30" s="59" t="n"/>
    </row>
    <row r="31" ht="13.5" customHeight="1" s="67">
      <c r="A31" s="88" t="inlineStr">
        <is>
          <t>消費税(10%)</t>
        </is>
      </c>
      <c r="B31" s="83" t="n"/>
      <c r="C31" s="83" t="n"/>
      <c r="D31" s="83" t="n"/>
      <c r="E31" s="83" t="n"/>
      <c r="F31" s="78" t="n"/>
      <c r="G31" s="58">
        <f>G30*0.1</f>
        <v/>
      </c>
      <c r="H31" s="61" t="n"/>
    </row>
    <row r="32" ht="13.5" customHeight="1" s="67">
      <c r="A32" s="88" t="n"/>
      <c r="B32" s="83" t="n"/>
      <c r="C32" s="83" t="n"/>
      <c r="D32" s="83" t="n"/>
      <c r="E32" s="83" t="n"/>
      <c r="F32" s="78" t="n"/>
      <c r="G32" s="58" t="n"/>
      <c r="H32" s="61" t="n"/>
    </row>
    <row r="33" ht="13.5" customHeight="1" s="67">
      <c r="A33" s="88" t="inlineStr">
        <is>
          <t>合計金額</t>
        </is>
      </c>
      <c r="B33" s="83" t="n"/>
      <c r="C33" s="83" t="n"/>
      <c r="D33" s="83" t="n"/>
      <c r="E33" s="83" t="n"/>
      <c r="F33" s="78" t="n"/>
      <c r="G33" s="58">
        <f>SUM(G30:G32)</f>
        <v/>
      </c>
      <c r="H33" s="62" t="n"/>
    </row>
    <row r="34" ht="13.5" customHeight="1" s="67">
      <c r="A34" s="63" t="n"/>
      <c r="B34" s="63" t="n"/>
      <c r="C34" s="64" t="n"/>
      <c r="D34" s="64" t="n"/>
      <c r="E34" s="64" t="n"/>
      <c r="F34" s="64" t="n"/>
      <c r="G34" s="64" t="n"/>
      <c r="H34" s="64" t="n"/>
      <c r="I34" s="65" t="n"/>
      <c r="J34" s="65" t="n"/>
    </row>
    <row r="35" ht="13.5" customHeight="1" s="67">
      <c r="A35" s="63" t="n"/>
      <c r="B35" s="63" t="n"/>
      <c r="C35" s="64" t="n"/>
      <c r="D35" s="64" t="n"/>
      <c r="E35" s="64" t="n"/>
      <c r="F35" s="64" t="n"/>
      <c r="G35" s="64" t="n"/>
      <c r="H35" s="64" t="n"/>
      <c r="I35" s="65" t="n"/>
      <c r="J35" s="65" t="n"/>
    </row>
    <row r="36" ht="13.5" customHeight="1" s="67">
      <c r="A36" s="63" t="n"/>
      <c r="B36" s="63" t="n"/>
      <c r="C36" s="64" t="n"/>
      <c r="D36" s="64" t="n"/>
      <c r="E36" s="64" t="n"/>
      <c r="F36" s="64" t="n"/>
      <c r="G36" s="64" t="n"/>
      <c r="H36" s="64" t="n"/>
      <c r="I36" s="65" t="n"/>
      <c r="J36" s="65" t="n"/>
    </row>
    <row r="37" ht="13.5" customHeight="1" s="67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5" customHeight="1" s="67">
      <c r="A38" s="66" t="n"/>
      <c r="B38" s="66" t="n"/>
      <c r="C38" s="66" t="n"/>
      <c r="D38" s="66" t="n"/>
      <c r="E38" s="66" t="n"/>
      <c r="F38" s="66" t="n"/>
      <c r="G38" s="66" t="n"/>
      <c r="H38" s="66" t="n"/>
    </row>
    <row r="39" ht="13.5" customHeight="1" s="67">
      <c r="A39" s="66" t="n"/>
      <c r="B39" s="66" t="n"/>
      <c r="C39" s="66" t="n"/>
      <c r="D39" s="66" t="n"/>
      <c r="E39" s="66" t="n"/>
      <c r="F39" s="66" t="n"/>
      <c r="G39" s="66" t="n"/>
      <c r="H39" s="66" t="n"/>
    </row>
    <row r="40" ht="13.5" customHeight="1" s="67">
      <c r="A40" s="66" t="n"/>
      <c r="B40" s="66" t="n"/>
      <c r="C40" s="66" t="n"/>
      <c r="D40" s="66" t="n"/>
      <c r="E40" s="66" t="n"/>
      <c r="F40" s="66" t="n"/>
      <c r="G40" s="66" t="n"/>
      <c r="H40" s="66" t="n"/>
    </row>
    <row r="41" ht="13.5" customHeight="1" s="67">
      <c r="A41" s="66" t="n"/>
      <c r="B41" s="66" t="n"/>
      <c r="C41" s="66" t="n"/>
      <c r="D41" s="66" t="n"/>
      <c r="E41" s="66" t="n"/>
      <c r="F41" s="66" t="n"/>
      <c r="G41" s="66" t="n"/>
      <c r="H41" s="66" t="n"/>
    </row>
    <row r="42" ht="13.5" customHeight="1" s="67">
      <c r="A42" s="66" t="n"/>
      <c r="B42" s="66" t="n"/>
      <c r="C42" s="66" t="n"/>
      <c r="D42" s="66" t="n"/>
      <c r="E42" s="66" t="n"/>
      <c r="F42" s="66" t="n"/>
      <c r="G42" s="66" t="n"/>
      <c r="H42" s="66" t="n"/>
    </row>
    <row r="43" ht="13.5" customHeight="1" s="67"/>
    <row r="44" ht="13.5" customHeight="1" s="67"/>
    <row r="45" ht="13.5" customHeight="1" s="67"/>
    <row r="46" ht="13.5" customHeight="1" s="67"/>
    <row r="47" ht="13.5" customHeight="1" s="67"/>
    <row r="48" ht="13.5" customHeight="1" s="67"/>
    <row r="49" ht="13.5" customHeight="1" s="67"/>
    <row r="50" ht="13.5" customHeight="1" s="67"/>
    <row r="51" ht="13.5" customHeight="1" s="67"/>
    <row r="52" ht="13.5" customHeight="1" s="67"/>
    <row r="53" ht="13.5" customHeight="1" s="67"/>
    <row r="54" ht="13.5" customHeight="1" s="67"/>
    <row r="55" ht="13.5" customHeight="1" s="67"/>
    <row r="56" ht="13.5" customHeight="1" s="67"/>
    <row r="57" ht="13.5" customHeight="1" s="67"/>
    <row r="58" ht="13.5" customHeight="1" s="67"/>
    <row r="59" ht="13.5" customHeight="1" s="67"/>
    <row r="60" ht="13.5" customHeight="1" s="67"/>
    <row r="61" ht="13.5" customHeight="1" s="67"/>
    <row r="62" ht="13.5" customHeight="1" s="67"/>
    <row r="63" ht="13.5" customHeight="1" s="67"/>
    <row r="64" ht="13.5" customHeight="1" s="67"/>
    <row r="65" ht="13.5" customHeight="1" s="67"/>
    <row r="66" ht="13.5" customHeight="1" s="67"/>
    <row r="67" ht="13.5" customHeight="1" s="67"/>
    <row r="68" ht="13.5" customHeight="1" s="67"/>
    <row r="69" ht="13.5" customHeight="1" s="67"/>
    <row r="70" ht="13.5" customHeight="1" s="67"/>
    <row r="71" ht="13.5" customHeight="1" s="67"/>
    <row r="72" ht="13.5" customHeight="1" s="67"/>
    <row r="73" ht="13.5" customHeight="1" s="67"/>
    <row r="74" ht="13.5" customHeight="1" s="67"/>
    <row r="75" ht="13.5" customHeight="1" s="67"/>
    <row r="76" ht="13.5" customHeight="1" s="67"/>
    <row r="77" ht="13.5" customHeight="1" s="67"/>
    <row r="78" ht="13.5" customHeight="1" s="67"/>
    <row r="79" ht="13.5" customHeight="1" s="67"/>
    <row r="80" ht="13.5" customHeight="1" s="67"/>
    <row r="81" ht="13.5" customHeight="1" s="67"/>
    <row r="82" ht="13.5" customHeight="1" s="67"/>
    <row r="83" ht="13.5" customHeight="1" s="67"/>
    <row r="84" ht="13.5" customHeight="1" s="67"/>
    <row r="85" ht="13.5" customHeight="1" s="67"/>
    <row r="86" ht="13.5" customHeight="1" s="67"/>
    <row r="87" ht="13.5" customHeight="1" s="67"/>
    <row r="88" ht="13.5" customHeight="1" s="67"/>
    <row r="89" ht="13.5" customHeight="1" s="67"/>
    <row r="90" ht="13.5" customHeight="1" s="67"/>
    <row r="91" ht="13.5" customHeight="1" s="67"/>
    <row r="92" ht="13.5" customHeight="1" s="67"/>
    <row r="93" ht="13.5" customHeight="1" s="67"/>
    <row r="94" ht="13.5" customHeight="1" s="67"/>
    <row r="95" ht="13.5" customHeight="1" s="67"/>
    <row r="96" ht="13.5" customHeight="1" s="67"/>
    <row r="97" ht="13.5" customHeight="1" s="67"/>
    <row r="98" ht="13.5" customHeight="1" s="67"/>
    <row r="99" ht="13.5" customHeight="1" s="67"/>
    <row r="100" ht="13.5" customHeight="1" s="67"/>
    <row r="101" ht="13.5" customHeight="1" s="67"/>
    <row r="102" ht="13.5" customHeight="1" s="67"/>
    <row r="103" ht="13.5" customHeight="1" s="67"/>
    <row r="104" ht="13.5" customHeight="1" s="67"/>
    <row r="105" ht="13.5" customHeight="1" s="67"/>
    <row r="106" ht="13.5" customHeight="1" s="67"/>
    <row r="107" ht="13.5" customHeight="1" s="67"/>
    <row r="108" ht="13.5" customHeight="1" s="67"/>
    <row r="109" ht="13.5" customHeight="1" s="67"/>
    <row r="110" ht="13.5" customHeight="1" s="67"/>
    <row r="111" ht="13.5" customHeight="1" s="67"/>
    <row r="112" ht="13.5" customHeight="1" s="67"/>
    <row r="113" ht="13.5" customHeight="1" s="67"/>
    <row r="114" ht="13.5" customHeight="1" s="67"/>
    <row r="115" ht="13.5" customHeight="1" s="67"/>
    <row r="116" ht="13.5" customHeight="1" s="67"/>
    <row r="117" ht="13.5" customHeight="1" s="67"/>
    <row r="118" ht="13.5" customHeight="1" s="67"/>
    <row r="119" ht="13.5" customHeight="1" s="67"/>
    <row r="120" ht="13.5" customHeight="1" s="67"/>
    <row r="121" ht="13.5" customHeight="1" s="67"/>
    <row r="122" ht="13.5" customHeight="1" s="67"/>
    <row r="123" ht="13.5" customHeight="1" s="67"/>
    <row r="124" ht="13.5" customHeight="1" s="67"/>
    <row r="125" ht="13.5" customHeight="1" s="67"/>
    <row r="126" ht="13.5" customHeight="1" s="67"/>
    <row r="127" ht="13.5" customHeight="1" s="67"/>
    <row r="128" ht="13.5" customHeight="1" s="67"/>
    <row r="129" ht="13.5" customHeight="1" s="67"/>
    <row r="130" ht="13.5" customHeight="1" s="67"/>
    <row r="131" ht="13.5" customHeight="1" s="67"/>
    <row r="132" ht="13.5" customHeight="1" s="67"/>
    <row r="133" ht="13.5" customHeight="1" s="67"/>
    <row r="134" ht="13.5" customHeight="1" s="67"/>
    <row r="135" ht="13.5" customHeight="1" s="67"/>
    <row r="136" ht="13.5" customHeight="1" s="67"/>
    <row r="137" ht="13.5" customHeight="1" s="67"/>
    <row r="138" ht="13.5" customHeight="1" s="67"/>
    <row r="139" ht="13.5" customHeight="1" s="67"/>
    <row r="140" ht="13.5" customHeight="1" s="67"/>
    <row r="141" ht="13.5" customHeight="1" s="67"/>
    <row r="142" ht="13.5" customHeight="1" s="67"/>
    <row r="143" ht="13.5" customHeight="1" s="67"/>
    <row r="144" ht="13.5" customHeight="1" s="67"/>
    <row r="145" ht="13.5" customHeight="1" s="67"/>
    <row r="146" ht="13.5" customHeight="1" s="67"/>
    <row r="147" ht="13.5" customHeight="1" s="67"/>
    <row r="148" ht="13.5" customHeight="1" s="67"/>
    <row r="149" ht="13.5" customHeight="1" s="67"/>
    <row r="150" ht="13.5" customHeight="1" s="67"/>
    <row r="151" ht="13.5" customHeight="1" s="67"/>
    <row r="152" ht="13.5" customHeight="1" s="67"/>
    <row r="153" ht="13.5" customHeight="1" s="67"/>
    <row r="154" ht="13.5" customHeight="1" s="67"/>
    <row r="155" ht="13.5" customHeight="1" s="67"/>
    <row r="156" ht="13.5" customHeight="1" s="67"/>
    <row r="157" ht="13.5" customHeight="1" s="67"/>
    <row r="158" ht="13.5" customHeight="1" s="67"/>
    <row r="159" ht="13.5" customHeight="1" s="67"/>
    <row r="160" ht="13.5" customHeight="1" s="67"/>
    <row r="161" ht="13.5" customHeight="1" s="67"/>
    <row r="162" ht="13.5" customHeight="1" s="67"/>
    <row r="163" ht="13.5" customHeight="1" s="67"/>
    <row r="164" ht="13.5" customHeight="1" s="67"/>
    <row r="165" ht="13.5" customHeight="1" s="67"/>
    <row r="166" ht="13.5" customHeight="1" s="67"/>
    <row r="167" ht="13.5" customHeight="1" s="67"/>
    <row r="168" ht="13.5" customHeight="1" s="67"/>
    <row r="169" ht="13.5" customHeight="1" s="67"/>
    <row r="170" ht="13.5" customHeight="1" s="67"/>
    <row r="171" ht="13.5" customHeight="1" s="67"/>
    <row r="172" ht="13.5" customHeight="1" s="67"/>
    <row r="173" ht="13.5" customHeight="1" s="67"/>
    <row r="174" ht="13.5" customHeight="1" s="67"/>
    <row r="175" ht="13.5" customHeight="1" s="67"/>
    <row r="176" ht="13.5" customHeight="1" s="67"/>
    <row r="177" ht="13.5" customHeight="1" s="67"/>
    <row r="178" ht="13.5" customHeight="1" s="67"/>
    <row r="179" ht="13.5" customHeight="1" s="67"/>
    <row r="180" ht="13.5" customHeight="1" s="67"/>
    <row r="181" ht="13.5" customHeight="1" s="67"/>
    <row r="182" ht="13.5" customHeight="1" s="67"/>
    <row r="183" ht="13.5" customHeight="1" s="67"/>
    <row r="184" ht="13.5" customHeight="1" s="67"/>
    <row r="185" ht="13.5" customHeight="1" s="67"/>
    <row r="186" ht="13.5" customHeight="1" s="67"/>
    <row r="187" ht="13.5" customHeight="1" s="67"/>
    <row r="188" ht="13.5" customHeight="1" s="67"/>
    <row r="189" ht="13.5" customHeight="1" s="67"/>
    <row r="190" ht="13.5" customHeight="1" s="67"/>
    <row r="191" ht="13.5" customHeight="1" s="67"/>
    <row r="192" ht="13.5" customHeight="1" s="67"/>
    <row r="193" ht="13.5" customHeight="1" s="67"/>
    <row r="194" ht="13.5" customHeight="1" s="67"/>
    <row r="195" ht="13.5" customHeight="1" s="67"/>
    <row r="196" ht="13.5" customHeight="1" s="67"/>
    <row r="197" ht="13.5" customHeight="1" s="67"/>
    <row r="198" ht="13.5" customHeight="1" s="67"/>
    <row r="199" ht="13.5" customHeight="1" s="67"/>
    <row r="200" ht="13.5" customHeight="1" s="67"/>
    <row r="201" ht="13.5" customHeight="1" s="67"/>
    <row r="202" ht="13.5" customHeight="1" s="67"/>
    <row r="203" ht="13.5" customHeight="1" s="67"/>
    <row r="204" ht="13.5" customHeight="1" s="67"/>
    <row r="205" ht="13.5" customHeight="1" s="67"/>
    <row r="206" ht="13.5" customHeight="1" s="67"/>
    <row r="207" ht="13.5" customHeight="1" s="67"/>
    <row r="208" ht="13.5" customHeight="1" s="67"/>
    <row r="209" ht="13.5" customHeight="1" s="67"/>
    <row r="210" ht="13.5" customHeight="1" s="67"/>
    <row r="211" ht="13.5" customHeight="1" s="67"/>
    <row r="212" ht="13.5" customHeight="1" s="67"/>
    <row r="213" ht="13.5" customHeight="1" s="67"/>
    <row r="214" ht="13.5" customHeight="1" s="67"/>
    <row r="215" ht="13.5" customHeight="1" s="67"/>
    <row r="216" ht="13.5" customHeight="1" s="67"/>
    <row r="217" ht="13.5" customHeight="1" s="67"/>
    <row r="218" ht="13.5" customHeight="1" s="67"/>
    <row r="219" ht="13.5" customHeight="1" s="67"/>
    <row r="220" ht="13.5" customHeight="1" s="67"/>
    <row r="221" ht="13.5" customHeight="1" s="67"/>
    <row r="222" ht="13.5" customHeight="1" s="67"/>
    <row r="223" ht="13.5" customHeight="1" s="67"/>
    <row r="224" ht="13.5" customHeight="1" s="67"/>
    <row r="225" ht="13.5" customHeight="1" s="67"/>
    <row r="226" ht="13.5" customHeight="1" s="67"/>
    <row r="227" ht="13.5" customHeight="1" s="67"/>
    <row r="228" ht="13.5" customHeight="1" s="67"/>
    <row r="229" ht="13.5" customHeight="1" s="67"/>
    <row r="230" ht="13.5" customHeight="1" s="67"/>
    <row r="231" ht="13.5" customHeight="1" s="67"/>
    <row r="232" ht="13.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0">
    <mergeCell ref="A12:B13"/>
    <mergeCell ref="B25:C25"/>
    <mergeCell ref="B22:C22"/>
    <mergeCell ref="B27:C27"/>
    <mergeCell ref="B18:C18"/>
    <mergeCell ref="A33:F33"/>
    <mergeCell ref="B21:C21"/>
    <mergeCell ref="A32:F32"/>
    <mergeCell ref="B23:C23"/>
    <mergeCell ref="B17:C17"/>
    <mergeCell ref="B19:C19"/>
    <mergeCell ref="A31:F31"/>
    <mergeCell ref="A30:F30"/>
    <mergeCell ref="C12:E13"/>
    <mergeCell ref="A4:H4"/>
    <mergeCell ref="B24:C24"/>
    <mergeCell ref="A29:H29"/>
    <mergeCell ref="B20:C20"/>
    <mergeCell ref="A28:H28"/>
    <mergeCell ref="B26:C26"/>
  </mergeCells>
  <printOptions horizontalCentered="1" verticalCentered="1"/>
  <pageMargins left="0.7480314960629921" right="0.7480314960629921" top="0.984251968503937" bottom="0.984251968503937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J43"/>
  <sheetViews>
    <sheetView workbookViewId="0">
      <selection activeCell="A1" sqref="A1"/>
    </sheetView>
  </sheetViews>
  <sheetFormatPr baseColWidth="8" defaultColWidth="14.43" defaultRowHeight="15" customHeight="1"/>
  <cols>
    <col width="3.71" customWidth="1" style="67" min="1" max="1"/>
    <col width="17.43" customWidth="1" style="67" min="2" max="2"/>
    <col width="4.43" customWidth="1" style="67" min="3" max="3"/>
    <col width="6.86" customWidth="1" style="67" min="4" max="5"/>
    <col width="12.71" customWidth="1" style="67" min="6" max="7"/>
    <col width="25.43" customWidth="1" style="67" min="8" max="8"/>
    <col width="9.140000000000001" customWidth="1" style="67" min="9" max="9"/>
    <col width="10.71" customWidth="1" style="67" min="10" max="10"/>
  </cols>
  <sheetData>
    <row r="1" ht="21" customHeight="1" s="67">
      <c r="A1" s="1" t="n"/>
      <c r="B1" s="1" t="n"/>
      <c r="C1" s="1" t="n"/>
      <c r="D1" s="1" t="n"/>
      <c r="E1" s="2" t="n"/>
      <c r="F1" s="2" t="n"/>
      <c r="G1" s="3" t="inlineStr">
        <is>
          <t>日付</t>
        </is>
      </c>
      <c r="H1" s="4">
        <f>TODAY()</f>
        <v/>
      </c>
    </row>
    <row r="2" ht="18.75" customHeight="1" s="67">
      <c r="A2" s="1" t="n"/>
      <c r="B2" s="1" t="n"/>
      <c r="C2" s="1" t="n"/>
      <c r="D2" s="1" t="n"/>
      <c r="E2" s="2" t="n"/>
      <c r="F2" s="2" t="n"/>
      <c r="G2" s="3" t="inlineStr">
        <is>
          <t>担当</t>
        </is>
      </c>
      <c r="H2" s="5" t="inlineStr">
        <is>
          <t>竹村英哲</t>
        </is>
      </c>
    </row>
    <row r="3" ht="6.75" customHeight="1" s="67">
      <c r="A3" s="1" t="n"/>
      <c r="B3" s="1" t="n"/>
      <c r="C3" s="1" t="n"/>
      <c r="D3" s="1" t="n"/>
      <c r="E3" s="1" t="n"/>
      <c r="F3" s="1" t="n"/>
      <c r="G3" s="1" t="n"/>
      <c r="H3" s="1" t="n"/>
    </row>
    <row r="4" ht="26.25" customHeight="1" s="67">
      <c r="A4" s="68" t="inlineStr">
        <is>
          <t>御見積書</t>
        </is>
      </c>
      <c r="I4" s="9" t="n"/>
      <c r="J4" s="9" t="n"/>
    </row>
    <row r="5" ht="8.25" customHeight="1" s="67">
      <c r="A5" s="1" t="n"/>
      <c r="B5" s="1" t="n"/>
      <c r="C5" s="1" t="n"/>
      <c r="D5" s="1" t="n"/>
      <c r="E5" s="1" t="n"/>
      <c r="F5" s="1" t="n"/>
      <c r="G5" s="1" t="n"/>
      <c r="H5" s="1" t="n"/>
    </row>
    <row r="6" ht="21.75" customHeight="1" s="67">
      <c r="A6" s="10" t="inlineStr">
        <is>
          <t>株式会社新通エスピー 御中</t>
        </is>
      </c>
      <c r="B6" s="10" t="n"/>
      <c r="C6" s="10" t="n"/>
      <c r="D6" s="10" t="n"/>
      <c r="E6" s="10" t="n"/>
      <c r="F6" s="10" t="n"/>
      <c r="G6" s="1" t="n"/>
      <c r="H6" s="1" t="n"/>
    </row>
    <row r="7" ht="9" customHeight="1" s="67">
      <c r="A7" s="1" t="n"/>
      <c r="B7" s="1" t="n"/>
      <c r="C7" s="1" t="n"/>
      <c r="D7" s="1" t="n"/>
      <c r="E7" s="1" t="n"/>
      <c r="F7" s="1" t="n"/>
      <c r="G7" s="1" t="n"/>
      <c r="H7" s="1" t="n"/>
    </row>
    <row r="8" ht="17.25" customHeight="1" s="67">
      <c r="A8" s="11" t="inlineStr">
        <is>
          <t>件名：エアー遊具レンタルについて</t>
        </is>
      </c>
      <c r="B8" s="1" t="n"/>
      <c r="C8" s="1" t="n"/>
      <c r="D8" s="1" t="n"/>
      <c r="E8" s="1" t="n"/>
      <c r="F8" s="1" t="n"/>
      <c r="G8" s="1" t="n"/>
      <c r="H8" s="1" t="n"/>
    </row>
    <row r="9" ht="9" customHeight="1" s="67">
      <c r="A9" s="1" t="n"/>
      <c r="B9" s="1" t="n"/>
      <c r="C9" s="1" t="n"/>
      <c r="D9" s="1" t="n"/>
      <c r="E9" s="1" t="n"/>
      <c r="F9" s="1" t="n"/>
      <c r="G9" s="1" t="n"/>
      <c r="H9" s="1" t="n"/>
    </row>
    <row r="10" ht="16.5" customHeight="1" s="67">
      <c r="A10" s="12" t="inlineStr">
        <is>
          <t>下記の通り御見積申し上げます。</t>
        </is>
      </c>
      <c r="B10" s="1" t="n"/>
      <c r="C10" s="1" t="n"/>
      <c r="D10" s="1" t="n"/>
      <c r="E10" s="1" t="n"/>
      <c r="F10" s="1" t="n"/>
      <c r="G10" s="13" t="inlineStr">
        <is>
          <t xml:space="preserve">　　　　株式会社DreamCreation</t>
        </is>
      </c>
      <c r="H10" s="1" t="n"/>
    </row>
    <row r="11" ht="16.5" customHeight="1" s="67">
      <c r="A11" s="1" t="n"/>
      <c r="B11" s="1" t="n"/>
      <c r="C11" s="1" t="n"/>
      <c r="D11" s="1" t="n"/>
      <c r="E11" s="1" t="n"/>
      <c r="F11" s="1" t="n"/>
      <c r="G11" s="13" t="inlineStr">
        <is>
          <t xml:space="preserve">　　　　〒550-0015　大阪府大阪市西区南堀江1-10-1</t>
        </is>
      </c>
      <c r="H11" s="1" t="n"/>
    </row>
    <row r="12" ht="16.5" customHeight="1" s="67">
      <c r="A12" s="69" t="inlineStr">
        <is>
          <t>御見積金額</t>
        </is>
      </c>
      <c r="B12" s="70" t="n"/>
      <c r="C12" s="71">
        <f>SUM(G34)</f>
        <v/>
      </c>
      <c r="D12" s="72" t="n"/>
      <c r="E12" s="70" t="n"/>
      <c r="F12" s="18" t="n"/>
      <c r="G12" s="13" t="inlineStr">
        <is>
          <t xml:space="preserve">　　　　　KT堀江801</t>
        </is>
      </c>
      <c r="H12" s="1" t="n"/>
    </row>
    <row r="13" ht="16.5" customHeight="1" s="67">
      <c r="A13" s="73" t="n"/>
      <c r="B13" s="74" t="n"/>
      <c r="C13" s="73" t="n"/>
      <c r="D13" s="75" t="n"/>
      <c r="E13" s="74" t="n"/>
      <c r="F13" s="18" t="n"/>
      <c r="G13" s="13" t="inlineStr">
        <is>
          <t xml:space="preserve">　　　　TEL：06-4967-1038</t>
        </is>
      </c>
      <c r="H13" s="1" t="n"/>
    </row>
    <row r="14" ht="16.5" customHeight="1" s="67">
      <c r="A14" s="1" t="n"/>
      <c r="B14" s="1" t="n"/>
      <c r="C14" s="1" t="n"/>
      <c r="D14" s="1" t="n"/>
      <c r="E14" s="1" t="n"/>
      <c r="F14" s="1" t="n"/>
      <c r="G14" s="13" t="inlineStr">
        <is>
          <t xml:space="preserve">　　　　MAIL：data@d-creation-o.com</t>
        </is>
      </c>
      <c r="H14" s="1" t="n"/>
    </row>
    <row r="15" ht="20.25" customHeight="1" s="67">
      <c r="A15" s="1" t="inlineStr">
        <is>
          <t>実施期間：2025年12月1日～2026年3月31日</t>
        </is>
      </c>
      <c r="B15" s="1" t="n"/>
      <c r="C15" s="1" t="n"/>
      <c r="D15" s="1" t="n"/>
      <c r="E15" s="1" t="n"/>
      <c r="F15" s="1" t="n"/>
      <c r="G15" s="22" t="n"/>
      <c r="H15" s="1" t="n"/>
    </row>
    <row r="16" ht="9.75" customHeight="1" s="67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.75" customHeight="1" s="67">
      <c r="A17" s="23" t="inlineStr">
        <is>
          <t>No</t>
        </is>
      </c>
      <c r="B17" s="76" t="inlineStr">
        <is>
          <t>レンタル費　御見積内容</t>
        </is>
      </c>
      <c r="C17" s="77" t="n"/>
      <c r="D17" s="26" t="inlineStr">
        <is>
          <t>数量</t>
        </is>
      </c>
      <c r="E17" s="27" t="inlineStr">
        <is>
          <t>日数</t>
        </is>
      </c>
      <c r="F17" s="26" t="inlineStr">
        <is>
          <t>単価</t>
        </is>
      </c>
      <c r="G17" s="28" t="inlineStr">
        <is>
          <t>金額</t>
        </is>
      </c>
      <c r="H17" s="26" t="inlineStr">
        <is>
          <t>摘要</t>
        </is>
      </c>
    </row>
    <row r="18" ht="28.5" customHeight="1" s="67">
      <c r="A18" s="29" t="n">
        <v>1</v>
      </c>
      <c r="B18" s="32" t="inlineStr">
        <is>
          <t>エアー遊具(12月分)</t>
        </is>
      </c>
      <c r="C18" s="78" t="n"/>
      <c r="D18" s="32" t="n">
        <v>1</v>
      </c>
      <c r="E18" s="32" t="inlineStr">
        <is>
          <t>一式</t>
        </is>
      </c>
      <c r="F18" s="42" t="inlineStr">
        <is>
          <t>一式</t>
        </is>
      </c>
      <c r="G18" s="42" t="n">
        <v>300000</v>
      </c>
      <c r="H18" s="34" t="n"/>
    </row>
    <row r="19" ht="28.5" customHeight="1" s="67">
      <c r="A19" s="29" t="n">
        <v>2</v>
      </c>
      <c r="B19" s="32" t="inlineStr">
        <is>
          <t>エアー遊具(1月分)</t>
        </is>
      </c>
      <c r="C19" s="78" t="n"/>
      <c r="D19" s="32" t="n">
        <v>1</v>
      </c>
      <c r="E19" s="32" t="inlineStr">
        <is>
          <t>一式</t>
        </is>
      </c>
      <c r="F19" s="42" t="inlineStr">
        <is>
          <t>一式</t>
        </is>
      </c>
      <c r="G19" s="42" t="n">
        <v>300000</v>
      </c>
      <c r="H19" s="34" t="n"/>
    </row>
    <row r="20" ht="28.5" customHeight="1" s="67">
      <c r="A20" s="29" t="n">
        <v>3</v>
      </c>
      <c r="B20" s="32" t="inlineStr">
        <is>
          <t>エアー遊具(2月分)</t>
        </is>
      </c>
      <c r="C20" s="78" t="n"/>
      <c r="D20" s="32" t="n">
        <v>1</v>
      </c>
      <c r="E20" s="32" t="inlineStr">
        <is>
          <t>一式</t>
        </is>
      </c>
      <c r="F20" s="42" t="inlineStr">
        <is>
          <t>一式</t>
        </is>
      </c>
      <c r="G20" s="42" t="n">
        <v>300000</v>
      </c>
      <c r="H20" s="34" t="n"/>
    </row>
    <row r="21" ht="28.5" customHeight="1" s="67">
      <c r="A21" s="29" t="n">
        <v>4</v>
      </c>
      <c r="B21" s="32" t="inlineStr">
        <is>
          <t>エアー遊具(3月分)</t>
        </is>
      </c>
      <c r="C21" s="78" t="n"/>
      <c r="D21" s="32" t="n">
        <v>1</v>
      </c>
      <c r="E21" s="32" t="inlineStr">
        <is>
          <t>一式</t>
        </is>
      </c>
      <c r="F21" s="42" t="inlineStr">
        <is>
          <t>一式</t>
        </is>
      </c>
      <c r="G21" s="42" t="n">
        <v>300000</v>
      </c>
      <c r="H21" s="34" t="n"/>
    </row>
    <row r="22" ht="23.25" customHeight="1" s="67">
      <c r="A22" s="29" t="n">
        <v>5</v>
      </c>
      <c r="B22" s="32" t="n"/>
      <c r="C22" s="78" t="n"/>
      <c r="D22" s="32" t="n"/>
      <c r="E22" s="32" t="n"/>
      <c r="F22" s="42" t="n"/>
      <c r="G22" s="42" t="n"/>
      <c r="H22" s="40" t="n"/>
    </row>
    <row r="23" ht="15.75" customHeight="1" s="67">
      <c r="A23" s="23" t="inlineStr">
        <is>
          <t>No</t>
        </is>
      </c>
      <c r="B23" s="76" t="inlineStr">
        <is>
          <t>運送費　御見積内容</t>
        </is>
      </c>
      <c r="C23" s="77" t="n"/>
      <c r="D23" s="26" t="inlineStr">
        <is>
          <t>数量</t>
        </is>
      </c>
      <c r="E23" s="27" t="inlineStr">
        <is>
          <t>日数</t>
        </is>
      </c>
      <c r="F23" s="26" t="inlineStr">
        <is>
          <t>単価</t>
        </is>
      </c>
      <c r="G23" s="28" t="inlineStr">
        <is>
          <t>金額</t>
        </is>
      </c>
      <c r="H23" s="41" t="inlineStr">
        <is>
          <t>摘要</t>
        </is>
      </c>
    </row>
    <row r="24" ht="30" customHeight="1" s="67">
      <c r="A24" s="29" t="n">
        <v>6</v>
      </c>
      <c r="B24" s="32" t="n"/>
      <c r="C24" s="78" t="n"/>
      <c r="D24" s="32" t="n"/>
      <c r="E24" s="32" t="n"/>
      <c r="F24" s="42" t="n"/>
      <c r="G24" s="43" t="n"/>
      <c r="H24" s="40" t="n"/>
    </row>
    <row r="25" ht="23.25" customHeight="1" s="67">
      <c r="A25" s="29" t="n">
        <v>7</v>
      </c>
      <c r="B25" s="79" t="n"/>
      <c r="C25" s="78" t="n"/>
      <c r="D25" s="32" t="n"/>
      <c r="E25" s="32" t="n"/>
      <c r="F25" s="42" t="n"/>
      <c r="G25" s="43" t="n"/>
      <c r="H25" s="44" t="n"/>
    </row>
    <row r="26" ht="23.25" customHeight="1" s="67">
      <c r="A26" s="29" t="n">
        <v>8</v>
      </c>
      <c r="B26" s="79" t="n"/>
      <c r="C26" s="78" t="n"/>
      <c r="D26" s="32" t="n"/>
      <c r="E26" s="32" t="n"/>
      <c r="F26" s="42" t="n"/>
      <c r="G26" s="43" t="n"/>
      <c r="H26" s="40" t="n"/>
    </row>
    <row r="27" ht="23.25" customHeight="1" s="67">
      <c r="A27" s="29" t="n">
        <v>9</v>
      </c>
      <c r="B27" s="81" t="n"/>
      <c r="C27" s="78" t="n"/>
      <c r="D27" s="46" t="n"/>
      <c r="E27" s="47" t="n"/>
      <c r="F27" s="48" t="n"/>
      <c r="G27" s="49" t="n"/>
      <c r="H27" s="50" t="n"/>
    </row>
    <row r="28" ht="23.25" customHeight="1" s="67">
      <c r="A28" s="29" t="n">
        <v>10</v>
      </c>
      <c r="B28" s="81" t="n"/>
      <c r="C28" s="78" t="n"/>
      <c r="D28" s="46" t="n"/>
      <c r="E28" s="47" t="n"/>
      <c r="F28" s="48" t="n"/>
      <c r="G28" s="48" t="n"/>
      <c r="H28" s="51" t="n"/>
    </row>
    <row r="29" ht="15.75" customHeight="1" s="67">
      <c r="A29" s="82" t="inlineStr">
        <is>
          <t>備考</t>
        </is>
      </c>
      <c r="B29" s="83" t="n"/>
      <c r="C29" s="83" t="n"/>
      <c r="D29" s="83" t="n"/>
      <c r="E29" s="83" t="n"/>
      <c r="F29" s="83" t="n"/>
      <c r="G29" s="83" t="n"/>
      <c r="H29" s="78" t="n"/>
    </row>
    <row r="30" ht="37.5" customHeight="1" s="67">
      <c r="A30" s="84" t="n"/>
      <c r="B30" s="83" t="n"/>
      <c r="C30" s="83" t="n"/>
      <c r="D30" s="83" t="n"/>
      <c r="E30" s="83" t="n"/>
      <c r="F30" s="83" t="n"/>
      <c r="G30" s="83" t="n"/>
      <c r="H30" s="78" t="n"/>
    </row>
    <row r="31" ht="13.5" customHeight="1" s="67">
      <c r="A31" s="85" t="inlineStr">
        <is>
          <t>小計</t>
        </is>
      </c>
      <c r="B31" s="86" t="n"/>
      <c r="C31" s="86" t="n"/>
      <c r="D31" s="86" t="n"/>
      <c r="E31" s="86" t="n"/>
      <c r="F31" s="87" t="n"/>
      <c r="G31" s="58">
        <f>SUM(G18:G22,G24:G26)</f>
        <v/>
      </c>
      <c r="H31" s="59" t="n"/>
    </row>
    <row r="32" ht="13.5" customHeight="1" s="67">
      <c r="A32" s="88" t="inlineStr">
        <is>
          <t>消費税(10%)</t>
        </is>
      </c>
      <c r="B32" s="83" t="n"/>
      <c r="C32" s="83" t="n"/>
      <c r="D32" s="83" t="n"/>
      <c r="E32" s="83" t="n"/>
      <c r="F32" s="78" t="n"/>
      <c r="G32" s="58">
        <f>G31*0.1</f>
        <v/>
      </c>
      <c r="H32" s="61" t="n"/>
    </row>
    <row r="33" ht="13.5" customHeight="1" s="67">
      <c r="A33" s="88" t="n"/>
      <c r="B33" s="83" t="n"/>
      <c r="C33" s="83" t="n"/>
      <c r="D33" s="83" t="n"/>
      <c r="E33" s="83" t="n"/>
      <c r="F33" s="78" t="n"/>
      <c r="G33" s="58" t="n"/>
      <c r="H33" s="61" t="n"/>
    </row>
    <row r="34" ht="13.5" customHeight="1" s="67">
      <c r="A34" s="88" t="inlineStr">
        <is>
          <t>合計金額</t>
        </is>
      </c>
      <c r="B34" s="83" t="n"/>
      <c r="C34" s="83" t="n"/>
      <c r="D34" s="83" t="n"/>
      <c r="E34" s="83" t="n"/>
      <c r="F34" s="78" t="n"/>
      <c r="G34" s="58">
        <f>SUM(G31:G33)</f>
        <v/>
      </c>
      <c r="H34" s="62" t="n"/>
    </row>
    <row r="35" ht="13.5" customHeight="1" s="67">
      <c r="A35" s="63" t="n"/>
      <c r="B35" s="63" t="n"/>
      <c r="C35" s="64" t="n"/>
      <c r="D35" s="64" t="n"/>
      <c r="E35" s="64" t="n"/>
      <c r="F35" s="64" t="n"/>
      <c r="G35" s="64" t="n"/>
      <c r="H35" s="64" t="n"/>
      <c r="I35" s="65" t="n"/>
      <c r="J35" s="65" t="n"/>
    </row>
    <row r="36" ht="13.5" customHeight="1" s="67">
      <c r="A36" s="63" t="n"/>
      <c r="B36" s="63" t="n"/>
      <c r="C36" s="64" t="n"/>
      <c r="D36" s="64" t="n"/>
      <c r="E36" s="64" t="n"/>
      <c r="F36" s="64" t="n"/>
      <c r="G36" s="64" t="n"/>
      <c r="H36" s="64" t="n"/>
      <c r="I36" s="65" t="n"/>
      <c r="J36" s="65" t="n"/>
    </row>
    <row r="37" ht="13.5" customHeight="1" s="67">
      <c r="A37" s="63" t="n"/>
      <c r="B37" s="63" t="n"/>
      <c r="C37" s="64" t="n"/>
      <c r="D37" s="64" t="n"/>
      <c r="E37" s="64" t="n"/>
      <c r="F37" s="64" t="n"/>
      <c r="G37" s="64" t="n"/>
      <c r="H37" s="64" t="n"/>
      <c r="I37" s="65" t="n"/>
      <c r="J37" s="65" t="n"/>
    </row>
    <row r="38" ht="13.5" customHeight="1" s="67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5" customHeight="1" s="67">
      <c r="A39" s="66" t="n"/>
      <c r="B39" s="66" t="n"/>
      <c r="C39" s="66" t="n"/>
      <c r="D39" s="66" t="n"/>
      <c r="E39" s="66" t="n"/>
      <c r="F39" s="66" t="n"/>
      <c r="G39" s="66" t="n"/>
      <c r="H39" s="66" t="n"/>
    </row>
    <row r="40" ht="13.5" customHeight="1" s="67">
      <c r="A40" s="66" t="n"/>
      <c r="B40" s="66" t="n"/>
      <c r="C40" s="66" t="n"/>
      <c r="D40" s="66" t="n"/>
      <c r="E40" s="66" t="n"/>
      <c r="F40" s="66" t="n"/>
      <c r="G40" s="66" t="n"/>
      <c r="H40" s="66" t="n"/>
    </row>
    <row r="41" ht="13.5" customHeight="1" s="67">
      <c r="A41" s="66" t="n"/>
      <c r="B41" s="66" t="n"/>
      <c r="C41" s="66" t="n"/>
      <c r="D41" s="66" t="n"/>
      <c r="E41" s="66" t="n"/>
      <c r="F41" s="66" t="n"/>
      <c r="G41" s="66" t="n"/>
      <c r="H41" s="66" t="n"/>
    </row>
    <row r="42" ht="13.5" customHeight="1" s="67">
      <c r="A42" s="66" t="n"/>
      <c r="B42" s="66" t="n"/>
      <c r="C42" s="66" t="n"/>
      <c r="D42" s="66" t="n"/>
      <c r="E42" s="66" t="n"/>
      <c r="F42" s="66" t="n"/>
      <c r="G42" s="66" t="n"/>
      <c r="H42" s="66" t="n"/>
    </row>
    <row r="43" ht="13.5" customHeight="1" s="67">
      <c r="A43" s="66" t="n"/>
      <c r="B43" s="66" t="n"/>
      <c r="C43" s="66" t="n"/>
      <c r="D43" s="66" t="n"/>
      <c r="E43" s="66" t="n"/>
      <c r="F43" s="66" t="n"/>
      <c r="G43" s="66" t="n"/>
      <c r="H43" s="66" t="n"/>
    </row>
    <row r="44" ht="13.5" customHeight="1" s="67"/>
    <row r="45" ht="13.5" customHeight="1" s="67"/>
    <row r="46" ht="13.5" customHeight="1" s="67"/>
    <row r="47" ht="13.5" customHeight="1" s="67"/>
    <row r="48" ht="13.5" customHeight="1" s="67"/>
    <row r="49" ht="13.5" customHeight="1" s="67"/>
    <row r="50" ht="13.5" customHeight="1" s="67"/>
    <row r="51" ht="13.5" customHeight="1" s="67"/>
    <row r="52" ht="13.5" customHeight="1" s="67"/>
    <row r="53" ht="13.5" customHeight="1" s="67"/>
    <row r="54" ht="13.5" customHeight="1" s="67"/>
    <row r="55" ht="13.5" customHeight="1" s="67"/>
    <row r="56" ht="13.5" customHeight="1" s="67"/>
    <row r="57" ht="13.5" customHeight="1" s="67"/>
    <row r="58" ht="13.5" customHeight="1" s="67"/>
    <row r="59" ht="13.5" customHeight="1" s="67"/>
    <row r="60" ht="13.5" customHeight="1" s="67"/>
    <row r="61" ht="13.5" customHeight="1" s="67"/>
    <row r="62" ht="13.5" customHeight="1" s="67"/>
    <row r="63" ht="13.5" customHeight="1" s="67"/>
    <row r="64" ht="13.5" customHeight="1" s="67"/>
    <row r="65" ht="13.5" customHeight="1" s="67"/>
    <row r="66" ht="13.5" customHeight="1" s="67"/>
    <row r="67" ht="13.5" customHeight="1" s="67"/>
    <row r="68" ht="13.5" customHeight="1" s="67"/>
    <row r="69" ht="13.5" customHeight="1" s="67"/>
    <row r="70" ht="13.5" customHeight="1" s="67"/>
    <row r="71" ht="13.5" customHeight="1" s="67"/>
    <row r="72" ht="13.5" customHeight="1" s="67"/>
    <row r="73" ht="13.5" customHeight="1" s="67"/>
    <row r="74" ht="13.5" customHeight="1" s="67"/>
    <row r="75" ht="13.5" customHeight="1" s="67"/>
    <row r="76" ht="13.5" customHeight="1" s="67"/>
    <row r="77" ht="13.5" customHeight="1" s="67"/>
    <row r="78" ht="13.5" customHeight="1" s="67"/>
    <row r="79" ht="13.5" customHeight="1" s="67"/>
    <row r="80" ht="13.5" customHeight="1" s="67"/>
    <row r="81" ht="13.5" customHeight="1" s="67"/>
    <row r="82" ht="13.5" customHeight="1" s="67"/>
    <row r="83" ht="13.5" customHeight="1" s="67"/>
    <row r="84" ht="13.5" customHeight="1" s="67"/>
    <row r="85" ht="13.5" customHeight="1" s="67"/>
    <row r="86" ht="13.5" customHeight="1" s="67"/>
    <row r="87" ht="13.5" customHeight="1" s="67"/>
    <row r="88" ht="13.5" customHeight="1" s="67"/>
    <row r="89" ht="13.5" customHeight="1" s="67"/>
    <row r="90" ht="13.5" customHeight="1" s="67"/>
    <row r="91" ht="13.5" customHeight="1" s="67"/>
    <row r="92" ht="13.5" customHeight="1" s="67"/>
    <row r="93" ht="13.5" customHeight="1" s="67"/>
    <row r="94" ht="13.5" customHeight="1" s="67"/>
    <row r="95" ht="13.5" customHeight="1" s="67"/>
    <row r="96" ht="13.5" customHeight="1" s="67"/>
    <row r="97" ht="13.5" customHeight="1" s="67"/>
    <row r="98" ht="13.5" customHeight="1" s="67"/>
    <row r="99" ht="13.5" customHeight="1" s="67"/>
    <row r="100" ht="13.5" customHeight="1" s="67"/>
    <row r="101" ht="13.5" customHeight="1" s="67"/>
    <row r="102" ht="13.5" customHeight="1" s="67"/>
    <row r="103" ht="13.5" customHeight="1" s="67"/>
    <row r="104" ht="13.5" customHeight="1" s="67"/>
    <row r="105" ht="13.5" customHeight="1" s="67"/>
    <row r="106" ht="13.5" customHeight="1" s="67"/>
    <row r="107" ht="13.5" customHeight="1" s="67"/>
    <row r="108" ht="13.5" customHeight="1" s="67"/>
    <row r="109" ht="13.5" customHeight="1" s="67"/>
    <row r="110" ht="13.5" customHeight="1" s="67"/>
    <row r="111" ht="13.5" customHeight="1" s="67"/>
    <row r="112" ht="13.5" customHeight="1" s="67"/>
    <row r="113" ht="13.5" customHeight="1" s="67"/>
    <row r="114" ht="13.5" customHeight="1" s="67"/>
    <row r="115" ht="13.5" customHeight="1" s="67"/>
    <row r="116" ht="13.5" customHeight="1" s="67"/>
    <row r="117" ht="13.5" customHeight="1" s="67"/>
    <row r="118" ht="13.5" customHeight="1" s="67"/>
    <row r="119" ht="13.5" customHeight="1" s="67"/>
    <row r="120" ht="13.5" customHeight="1" s="67"/>
    <row r="121" ht="13.5" customHeight="1" s="67"/>
    <row r="122" ht="13.5" customHeight="1" s="67"/>
    <row r="123" ht="13.5" customHeight="1" s="67"/>
    <row r="124" ht="13.5" customHeight="1" s="67"/>
    <row r="125" ht="13.5" customHeight="1" s="67"/>
    <row r="126" ht="13.5" customHeight="1" s="67"/>
    <row r="127" ht="13.5" customHeight="1" s="67"/>
    <row r="128" ht="13.5" customHeight="1" s="67"/>
    <row r="129" ht="13.5" customHeight="1" s="67"/>
    <row r="130" ht="13.5" customHeight="1" s="67"/>
    <row r="131" ht="13.5" customHeight="1" s="67"/>
    <row r="132" ht="13.5" customHeight="1" s="67"/>
    <row r="133" ht="13.5" customHeight="1" s="67"/>
    <row r="134" ht="13.5" customHeight="1" s="67"/>
    <row r="135" ht="13.5" customHeight="1" s="67"/>
    <row r="136" ht="13.5" customHeight="1" s="67"/>
    <row r="137" ht="13.5" customHeight="1" s="67"/>
    <row r="138" ht="13.5" customHeight="1" s="67"/>
    <row r="139" ht="13.5" customHeight="1" s="67"/>
    <row r="140" ht="13.5" customHeight="1" s="67"/>
    <row r="141" ht="13.5" customHeight="1" s="67"/>
    <row r="142" ht="13.5" customHeight="1" s="67"/>
    <row r="143" ht="13.5" customHeight="1" s="67"/>
    <row r="144" ht="13.5" customHeight="1" s="67"/>
    <row r="145" ht="13.5" customHeight="1" s="67"/>
    <row r="146" ht="13.5" customHeight="1" s="67"/>
    <row r="147" ht="13.5" customHeight="1" s="67"/>
    <row r="148" ht="13.5" customHeight="1" s="67"/>
    <row r="149" ht="13.5" customHeight="1" s="67"/>
    <row r="150" ht="13.5" customHeight="1" s="67"/>
    <row r="151" ht="13.5" customHeight="1" s="67"/>
    <row r="152" ht="13.5" customHeight="1" s="67"/>
    <row r="153" ht="13.5" customHeight="1" s="67"/>
    <row r="154" ht="13.5" customHeight="1" s="67"/>
    <row r="155" ht="13.5" customHeight="1" s="67"/>
    <row r="156" ht="13.5" customHeight="1" s="67"/>
    <row r="157" ht="13.5" customHeight="1" s="67"/>
    <row r="158" ht="13.5" customHeight="1" s="67"/>
    <row r="159" ht="13.5" customHeight="1" s="67"/>
    <row r="160" ht="13.5" customHeight="1" s="67"/>
    <row r="161" ht="13.5" customHeight="1" s="67"/>
    <row r="162" ht="13.5" customHeight="1" s="67"/>
    <row r="163" ht="13.5" customHeight="1" s="67"/>
    <row r="164" ht="13.5" customHeight="1" s="67"/>
    <row r="165" ht="13.5" customHeight="1" s="67"/>
    <row r="166" ht="13.5" customHeight="1" s="67"/>
    <row r="167" ht="13.5" customHeight="1" s="67"/>
    <row r="168" ht="13.5" customHeight="1" s="67"/>
    <row r="169" ht="13.5" customHeight="1" s="67"/>
    <row r="170" ht="13.5" customHeight="1" s="67"/>
    <row r="171" ht="13.5" customHeight="1" s="67"/>
    <row r="172" ht="13.5" customHeight="1" s="67"/>
    <row r="173" ht="13.5" customHeight="1" s="67"/>
    <row r="174" ht="13.5" customHeight="1" s="67"/>
    <row r="175" ht="13.5" customHeight="1" s="67"/>
    <row r="176" ht="13.5" customHeight="1" s="67"/>
    <row r="177" ht="13.5" customHeight="1" s="67"/>
    <row r="178" ht="13.5" customHeight="1" s="67"/>
    <row r="179" ht="13.5" customHeight="1" s="67"/>
    <row r="180" ht="13.5" customHeight="1" s="67"/>
    <row r="181" ht="13.5" customHeight="1" s="67"/>
    <row r="182" ht="13.5" customHeight="1" s="67"/>
    <row r="183" ht="13.5" customHeight="1" s="67"/>
    <row r="184" ht="13.5" customHeight="1" s="67"/>
    <row r="185" ht="13.5" customHeight="1" s="67"/>
    <row r="186" ht="13.5" customHeight="1" s="67"/>
    <row r="187" ht="13.5" customHeight="1" s="67"/>
    <row r="188" ht="13.5" customHeight="1" s="67"/>
    <row r="189" ht="13.5" customHeight="1" s="67"/>
    <row r="190" ht="13.5" customHeight="1" s="67"/>
    <row r="191" ht="13.5" customHeight="1" s="67"/>
    <row r="192" ht="13.5" customHeight="1" s="67"/>
    <row r="193" ht="13.5" customHeight="1" s="67"/>
    <row r="194" ht="13.5" customHeight="1" s="67"/>
    <row r="195" ht="13.5" customHeight="1" s="67"/>
    <row r="196" ht="13.5" customHeight="1" s="67"/>
    <row r="197" ht="13.5" customHeight="1" s="67"/>
    <row r="198" ht="13.5" customHeight="1" s="67"/>
    <row r="199" ht="13.5" customHeight="1" s="67"/>
    <row r="200" ht="13.5" customHeight="1" s="67"/>
    <row r="201" ht="13.5" customHeight="1" s="67"/>
    <row r="202" ht="13.5" customHeight="1" s="67"/>
    <row r="203" ht="13.5" customHeight="1" s="67"/>
    <row r="204" ht="13.5" customHeight="1" s="67"/>
    <row r="205" ht="13.5" customHeight="1" s="67"/>
    <row r="206" ht="13.5" customHeight="1" s="67"/>
    <row r="207" ht="13.5" customHeight="1" s="67"/>
    <row r="208" ht="13.5" customHeight="1" s="67"/>
    <row r="209" ht="13.5" customHeight="1" s="67"/>
    <row r="210" ht="13.5" customHeight="1" s="67"/>
    <row r="211" ht="13.5" customHeight="1" s="67"/>
    <row r="212" ht="13.5" customHeight="1" s="67"/>
    <row r="213" ht="13.5" customHeight="1" s="67"/>
    <row r="214" ht="13.5" customHeight="1" s="67"/>
    <row r="215" ht="13.5" customHeight="1" s="67"/>
    <row r="216" ht="13.5" customHeight="1" s="67"/>
    <row r="217" ht="13.5" customHeight="1" s="67"/>
    <row r="218" ht="13.5" customHeight="1" s="67"/>
    <row r="219" ht="13.5" customHeight="1" s="67"/>
    <row r="220" ht="13.5" customHeight="1" s="67"/>
    <row r="221" ht="13.5" customHeight="1" s="67"/>
    <row r="222" ht="13.5" customHeight="1" s="67"/>
    <row r="223" ht="13.5" customHeight="1" s="67"/>
    <row r="224" ht="13.5" customHeight="1" s="67"/>
    <row r="225" ht="13.5" customHeight="1" s="67"/>
    <row r="226" ht="13.5" customHeight="1" s="67"/>
    <row r="227" ht="13.5" customHeight="1" s="67"/>
    <row r="228" ht="13.5" customHeight="1" s="67"/>
    <row r="229" ht="13.5" customHeight="1" s="67"/>
    <row r="230" ht="13.5" customHeight="1" s="67"/>
    <row r="231" ht="13.5" customHeight="1" s="67"/>
    <row r="232" ht="13.5" customHeight="1" s="67"/>
    <row r="233" ht="13.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1">
    <mergeCell ref="A12:B13"/>
    <mergeCell ref="A30:H30"/>
    <mergeCell ref="B25:C25"/>
    <mergeCell ref="B22:C22"/>
    <mergeCell ref="B27:C27"/>
    <mergeCell ref="B18:C18"/>
    <mergeCell ref="A33:F33"/>
    <mergeCell ref="B21:C21"/>
    <mergeCell ref="A32:F32"/>
    <mergeCell ref="B23:C23"/>
    <mergeCell ref="B17:C17"/>
    <mergeCell ref="B19:C19"/>
    <mergeCell ref="B28:C28"/>
    <mergeCell ref="A31:F31"/>
    <mergeCell ref="A34:F34"/>
    <mergeCell ref="C12:E13"/>
    <mergeCell ref="A4:H4"/>
    <mergeCell ref="B24:C24"/>
    <mergeCell ref="A29:H29"/>
    <mergeCell ref="B20:C20"/>
    <mergeCell ref="B26:C26"/>
  </mergeCells>
  <printOptions horizontalCentered="1" verticalCentered="1"/>
  <pageMargins left="0.7480314960629921" right="0.7480314960629921" top="0.984251968503937" bottom="0.98425196850393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visccus04</dc:creator>
  <dcterms:created xmlns:dcterms="http://purl.org/dc/terms/" xmlns:xsi="http://www.w3.org/2001/XMLSchema-instance" xsi:type="dcterms:W3CDTF">2013-05-14T04:48:22Z</dcterms:created>
  <dcterms:modified xmlns:dcterms="http://purl.org/dc/terms/" xmlns:xsi="http://www.w3.org/2001/XMLSchema-instance" xsi:type="dcterms:W3CDTF">2026-10-20T09:31:49Z</dcterms:modified>
</cp:coreProperties>
</file>