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御見積書11月" sheetId="1" state="visible" r:id="rId1"/>
    <sheet xmlns:r="http://schemas.openxmlformats.org/officeDocument/2006/relationships" name="御見積書 12月-3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d&quot;日&quot;"/>
    <numFmt numFmtId="165" formatCode="[$￥-411]#,##0;[Red]\-[$￥-411]#,##0"/>
    <numFmt numFmtId="166" formatCode="\\#,##0_);[Red]&quot;(\&quot;#,##0\)"/>
    <numFmt numFmtId="167" formatCode="0_);[Red]\(0\)"/>
    <numFmt numFmtId="168" formatCode="\\#,##0;[Red]&quot;\-&quot;#,##0"/>
  </numFmts>
  <fonts count="32">
    <font>
      <name val="Calibri"/>
      <color rgb="FF000000"/>
      <sz val="11"/>
      <scheme val="minor"/>
    </font>
    <font>
      <name val="游ゴシック"/>
      <color theme="1"/>
      <sz val="11"/>
    </font>
    <font>
      <name val="游ゴシック"/>
      <i val="1"/>
      <color theme="1"/>
      <sz val="11"/>
    </font>
    <font>
      <name val="游ゴシック"/>
      <b val="1"/>
      <i val="1"/>
      <color theme="1"/>
      <sz val="9"/>
    </font>
    <font>
      <name val="游ゴシック"/>
      <b val="1"/>
      <color theme="1"/>
      <sz val="22"/>
    </font>
    <font/>
    <font>
      <name val="MS PMincho"/>
      <b val="1"/>
      <color theme="1"/>
      <sz val="18"/>
    </font>
    <font>
      <name val="游ゴシック"/>
      <color theme="1"/>
      <sz val="12"/>
      <u val="single"/>
    </font>
    <font>
      <name val="游ゴシック"/>
      <color theme="1"/>
      <sz val="8"/>
      <u val="single"/>
    </font>
    <font>
      <name val="游ゴシック"/>
      <color theme="1"/>
      <sz val="9"/>
      <u val="single"/>
    </font>
    <font>
      <name val="游ゴシック"/>
      <b val="1"/>
      <color theme="1"/>
      <sz val="6"/>
    </font>
    <font>
      <name val="游ゴシック"/>
      <b val="1"/>
      <i val="1"/>
      <color theme="1"/>
      <sz val="16"/>
    </font>
    <font>
      <name val="游ゴシック"/>
      <b val="1"/>
      <i val="1"/>
      <color theme="1"/>
      <sz val="14"/>
    </font>
    <font>
      <name val="游ゴシック"/>
      <b val="1"/>
      <i val="1"/>
      <color theme="1"/>
      <sz val="14"/>
      <u val="single"/>
    </font>
    <font>
      <name val="游ゴシック"/>
      <b val="1"/>
      <color theme="1"/>
      <sz val="8"/>
    </font>
    <font>
      <name val="游ゴシック"/>
      <i val="1"/>
      <color theme="1"/>
      <sz val="7"/>
    </font>
    <font>
      <name val="游ゴシック"/>
      <i val="1"/>
      <color rgb="FF3F3F3F"/>
      <sz val="7"/>
    </font>
    <font>
      <name val="游ゴシック"/>
      <i val="1"/>
      <color theme="1"/>
      <sz val="6"/>
    </font>
    <font>
      <name val="游ゴシック"/>
      <color theme="1"/>
      <sz val="7"/>
    </font>
    <font>
      <name val="游ゴシック"/>
      <color rgb="FF3F3F3F"/>
      <sz val="7"/>
    </font>
    <font>
      <name val="游ゴシック"/>
      <color rgb="FF3F3F3F"/>
      <sz val="6"/>
    </font>
    <font>
      <name val="游ゴシック"/>
      <color theme="1"/>
      <sz val="6"/>
    </font>
    <font>
      <name val="游ゴシック"/>
      <i val="1"/>
      <color rgb="FF3F3F3F"/>
      <sz val="6"/>
    </font>
    <font>
      <name val="游ゴシック"/>
      <color theme="1"/>
      <sz val="10"/>
    </font>
    <font>
      <name val="游ゴシック"/>
      <i val="1"/>
      <color theme="1"/>
      <sz val="9"/>
    </font>
    <font>
      <name val="游ゴシック"/>
      <color rgb="FF3F3F3F"/>
      <sz val="9"/>
    </font>
    <font>
      <name val="游ゴシック"/>
      <color rgb="FF3F3F3F"/>
      <sz val="8"/>
    </font>
    <font>
      <name val="游ゴシック"/>
      <b val="1"/>
      <i val="1"/>
      <color theme="1"/>
      <sz val="8"/>
    </font>
    <font>
      <name val="游ゴシック"/>
      <i val="1"/>
      <color theme="1"/>
      <sz val="10"/>
    </font>
    <font>
      <name val="游ゴシック"/>
      <i val="1"/>
      <color rgb="FF000000"/>
      <sz val="10"/>
    </font>
    <font>
      <name val="Meiryo"/>
      <color theme="1"/>
      <sz val="10"/>
    </font>
    <font>
      <name val="Meiry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</fills>
  <borders count="33">
    <border/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applyAlignment="1" pivotButton="0" quotePrefix="0" xfId="0">
      <alignment horizontal="center" vertical="center"/>
    </xf>
    <xf numFmtId="0" fontId="5" fillId="0" borderId="5" pivotButton="0" quotePrefix="0" xfId="0"/>
    <xf numFmtId="165" fontId="12" fillId="0" borderId="4" applyAlignment="1" pivotButton="0" quotePrefix="0" xfId="0">
      <alignment horizontal="center" vertical="center"/>
    </xf>
    <xf numFmtId="0" fontId="5" fillId="0" borderId="6" pivotButton="0" quotePrefix="0" xfId="0"/>
    <xf numFmtId="165" fontId="13" fillId="0" borderId="0" applyAlignment="1" pivotButton="0" quotePrefix="0" xfId="0">
      <alignment horizontal="center" vertical="center"/>
    </xf>
    <xf numFmtId="0" fontId="5" fillId="0" borderId="7" pivotButton="0" quotePrefix="0" xfId="0"/>
    <xf numFmtId="0" fontId="5" fillId="0" borderId="8" pivotButton="0" quotePrefix="0" xfId="0"/>
    <xf numFmtId="0" fontId="5" fillId="0" borderId="9" pivotButton="0" quotePrefix="0" xfId="0"/>
    <xf numFmtId="0" fontId="14" fillId="0" borderId="0" pivotButton="0" quotePrefix="0" xfId="0"/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horizontal="center" vertical="center"/>
    </xf>
    <xf numFmtId="0" fontId="5" fillId="0" borderId="12" pivotButton="0" quotePrefix="0" xfId="0"/>
    <xf numFmtId="0" fontId="3" fillId="3" borderId="10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3" fillId="3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/>
    </xf>
    <xf numFmtId="0" fontId="15" fillId="0" borderId="15" applyAlignment="1" pivotButton="0" quotePrefix="0" xfId="0">
      <alignment horizontal="center" vertical="center" shrinkToFit="1"/>
    </xf>
    <xf numFmtId="0" fontId="5" fillId="0" borderId="16" pivotButton="0" quotePrefix="0" xfId="0"/>
    <xf numFmtId="0" fontId="15" fillId="0" borderId="10" applyAlignment="1" pivotButton="0" quotePrefix="0" xfId="0">
      <alignment horizontal="center" vertical="center" shrinkToFit="1"/>
    </xf>
    <xf numFmtId="166" fontId="16" fillId="0" borderId="17" applyAlignment="1" pivotButton="0" quotePrefix="0" xfId="0">
      <alignment horizontal="center" vertical="center"/>
    </xf>
    <xf numFmtId="166" fontId="17" fillId="0" borderId="10" applyAlignment="1" pivotButton="0" quotePrefix="0" xfId="0">
      <alignment horizontal="left" vertical="center"/>
    </xf>
    <xf numFmtId="0" fontId="18" fillId="0" borderId="15" applyAlignment="1" pivotButton="0" quotePrefix="0" xfId="0">
      <alignment horizontal="center" vertical="center" shrinkToFit="1"/>
    </xf>
    <xf numFmtId="167" fontId="19" fillId="0" borderId="18" applyAlignment="1" pivotButton="0" quotePrefix="0" xfId="0">
      <alignment horizontal="center" vertical="center"/>
    </xf>
    <xf numFmtId="166" fontId="19" fillId="0" borderId="17" applyAlignment="1" pivotButton="0" quotePrefix="0" xfId="0">
      <alignment horizontal="center" vertical="center"/>
    </xf>
    <xf numFmtId="166" fontId="20" fillId="0" borderId="10" applyAlignment="1" pivotButton="0" quotePrefix="0" xfId="0">
      <alignment horizontal="center" wrapText="1"/>
    </xf>
    <xf numFmtId="0" fontId="21" fillId="0" borderId="15" applyAlignment="1" pivotButton="0" quotePrefix="0" xfId="0">
      <alignment horizontal="center" vertical="center" shrinkToFit="1"/>
    </xf>
    <xf numFmtId="166" fontId="22" fillId="0" borderId="10" applyAlignment="1" pivotButton="0" quotePrefix="0" xfId="0">
      <alignment horizontal="left" vertical="center" wrapText="1"/>
    </xf>
    <xf numFmtId="0" fontId="3" fillId="3" borderId="19" applyAlignment="1" pivotButton="0" quotePrefix="0" xfId="0">
      <alignment horizontal="center" vertical="center"/>
    </xf>
    <xf numFmtId="166" fontId="16" fillId="0" borderId="17" applyAlignment="1" pivotButton="0" quotePrefix="0" xfId="0">
      <alignment horizontal="center" vertical="center"/>
    </xf>
    <xf numFmtId="166" fontId="16" fillId="0" borderId="20" applyAlignment="1" pivotButton="0" quotePrefix="0" xfId="0">
      <alignment horizontal="center" vertical="center"/>
    </xf>
    <xf numFmtId="166" fontId="22" fillId="0" borderId="10" applyAlignment="1" pivotButton="0" quotePrefix="0" xfId="0">
      <alignment vertical="center" wrapText="1"/>
    </xf>
    <xf numFmtId="0" fontId="23" fillId="0" borderId="15" applyAlignment="1" pivotButton="0" quotePrefix="0" xfId="0">
      <alignment horizontal="center" vertical="center" shrinkToFit="1"/>
    </xf>
    <xf numFmtId="0" fontId="24" fillId="0" borderId="10" applyAlignment="1" pivotButton="0" quotePrefix="0" xfId="0">
      <alignment horizontal="center" vertical="center" shrinkToFit="1"/>
    </xf>
    <xf numFmtId="167" fontId="25" fillId="0" borderId="18" applyAlignment="1" pivotButton="0" quotePrefix="0" xfId="0">
      <alignment horizontal="center" vertical="center"/>
    </xf>
    <xf numFmtId="166" fontId="25" fillId="0" borderId="17" applyAlignment="1" pivotButton="0" quotePrefix="0" xfId="0">
      <alignment horizontal="center" vertical="center"/>
    </xf>
    <xf numFmtId="166" fontId="25" fillId="0" borderId="20" applyAlignment="1" pivotButton="0" quotePrefix="0" xfId="0">
      <alignment horizontal="center" vertical="center"/>
    </xf>
    <xf numFmtId="166" fontId="26" fillId="0" borderId="10" applyAlignment="1" pivotButton="0" quotePrefix="0" xfId="0">
      <alignment horizontal="center"/>
    </xf>
    <xf numFmtId="166" fontId="26" fillId="0" borderId="21" applyAlignment="1" pivotButton="0" quotePrefix="0" xfId="0">
      <alignment horizontal="center"/>
    </xf>
    <xf numFmtId="0" fontId="27" fillId="3" borderId="15" applyAlignment="1" pivotButton="0" quotePrefix="0" xfId="0">
      <alignment horizontal="center"/>
    </xf>
    <xf numFmtId="0" fontId="5" fillId="0" borderId="22" pivotButton="0" quotePrefix="0" xfId="0"/>
    <xf numFmtId="0" fontId="24" fillId="0" borderId="15" applyAlignment="1" pivotButton="0" quotePrefix="0" xfId="0">
      <alignment horizontal="left" vertical="top"/>
    </xf>
    <xf numFmtId="0" fontId="2" fillId="0" borderId="23" applyAlignment="1" pivotButton="0" quotePrefix="0" xfId="0">
      <alignment horizontal="right" vertical="center"/>
    </xf>
    <xf numFmtId="0" fontId="5" fillId="0" borderId="24" pivotButton="0" quotePrefix="0" xfId="0"/>
    <xf numFmtId="0" fontId="5" fillId="0" borderId="25" pivotButton="0" quotePrefix="0" xfId="0"/>
    <xf numFmtId="168" fontId="28" fillId="0" borderId="23" applyAlignment="1" pivotButton="0" quotePrefix="0" xfId="0">
      <alignment horizontal="right" vertical="center"/>
    </xf>
    <xf numFmtId="168" fontId="28" fillId="0" borderId="21" pivotButton="0" quotePrefix="0" xfId="0"/>
    <xf numFmtId="0" fontId="2" fillId="0" borderId="15" applyAlignment="1" pivotButton="0" quotePrefix="0" xfId="0">
      <alignment horizontal="right" vertical="center"/>
    </xf>
    <xf numFmtId="166" fontId="29" fillId="0" borderId="10" applyAlignment="1" pivotButton="0" quotePrefix="0" xfId="0">
      <alignment vertical="center"/>
    </xf>
    <xf numFmtId="168" fontId="28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23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0" fillId="0" borderId="0" pivotButton="0" quotePrefix="0" xfId="0"/>
    <xf numFmtId="0" fontId="4" fillId="2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0" fillId="0" borderId="5" pivotButton="0" quotePrefix="0" xfId="0"/>
    <xf numFmtId="165" fontId="12" fillId="0" borderId="2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3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6" pivotButton="0" quotePrefix="0" xfId="0"/>
    <xf numFmtId="0" fontId="18" fillId="0" borderId="10" applyAlignment="1" pivotButton="0" quotePrefix="0" xfId="0">
      <alignment horizontal="center" vertical="center" shrinkToFit="1"/>
    </xf>
    <xf numFmtId="0" fontId="21" fillId="0" borderId="10" applyAlignment="1" pivotButton="0" quotePrefix="0" xfId="0">
      <alignment horizontal="center" vertical="center" shrinkToFit="1"/>
    </xf>
    <xf numFmtId="0" fontId="23" fillId="0" borderId="10" applyAlignment="1" pivotButton="0" quotePrefix="0" xfId="0">
      <alignment horizontal="center" vertical="center" shrinkToFit="1"/>
    </xf>
    <xf numFmtId="0" fontId="27" fillId="3" borderId="10" applyAlignment="1" pivotButton="0" quotePrefix="0" xfId="0">
      <alignment horizontal="center"/>
    </xf>
    <xf numFmtId="0" fontId="0" fillId="0" borderId="22" pivotButton="0" quotePrefix="0" xfId="0"/>
    <xf numFmtId="0" fontId="24" fillId="0" borderId="10" applyAlignment="1" pivotButton="0" quotePrefix="0" xfId="0">
      <alignment horizontal="left" vertical="top"/>
    </xf>
    <xf numFmtId="0" fontId="2" fillId="0" borderId="21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0" fontId="2" fillId="0" borderId="10" applyAlignment="1" pivotButton="0" quotePrefix="0" xfId="0">
      <alignment horizontal="righ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2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 t="n">
        <v>46315</v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株式会社NTTドコモ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件名：クリスマスワークショップパッケージについて（10セット）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SUM(G33)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実施期間：2026年12月 4週間（日程別途調整）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30.75" customHeight="1" s="67">
      <c r="A18" s="29" t="n">
        <v>1</v>
      </c>
      <c r="B18" s="32" t="inlineStr">
        <is>
          <t>ワークショップキット（スノードーム/スクイーズ）</t>
        </is>
      </c>
      <c r="C18" s="78" t="n"/>
      <c r="D18" s="32" t="n">
        <v>10</v>
      </c>
      <c r="E18" s="32" t="n">
        <v>1</v>
      </c>
      <c r="F18" s="42" t="n">
        <v>400000</v>
      </c>
      <c r="G18" s="42" t="n">
        <v>4000000</v>
      </c>
      <c r="H18" s="34" t="inlineStr">
        <is>
          <t>1地区300個/週×4週=1,200個</t>
        </is>
      </c>
    </row>
    <row r="19" ht="23.25" customHeight="1" s="67">
      <c r="A19" s="29" t="n">
        <v>2</v>
      </c>
      <c r="B19" s="79" t="inlineStr">
        <is>
          <t>販促物一式（クリスマスアーチ・B0ポスター10枚・開催中ツール・コスプレ）</t>
        </is>
      </c>
      <c r="C19" s="78" t="n"/>
      <c r="D19" s="32" t="n">
        <v>10</v>
      </c>
      <c r="E19" s="36" t="n">
        <v>1</v>
      </c>
      <c r="F19" s="37" t="n">
        <v>80000</v>
      </c>
      <c r="G19" s="37" t="n">
        <v>800000</v>
      </c>
      <c r="H19" s="38" t="inlineStr">
        <is>
          <t>アーチは期間中レンタル・終了後返却</t>
        </is>
      </c>
    </row>
    <row r="20" ht="25.5" customHeight="1" s="67">
      <c r="A20" s="29" t="n">
        <v>3</v>
      </c>
      <c r="B20" s="80" t="inlineStr">
        <is>
          <t>企画・ディレクション・運用マニュアル</t>
        </is>
      </c>
      <c r="C20" s="78" t="n"/>
      <c r="D20" s="32" t="n">
        <v>10</v>
      </c>
      <c r="E20" s="32" t="n">
        <v>1</v>
      </c>
      <c r="F20" s="42" t="n">
        <v>20000</v>
      </c>
      <c r="G20" s="42" t="n">
        <v>200000</v>
      </c>
      <c r="H20" s="40" t="n"/>
    </row>
    <row r="21" ht="23.25" customHeight="1" s="67">
      <c r="A21" s="29" t="n">
        <v>4</v>
      </c>
      <c r="B21" s="79" t="n"/>
      <c r="C21" s="78" t="n"/>
      <c r="D21" s="32" t="n"/>
      <c r="E21" s="32" t="n"/>
      <c r="F21" s="42" t="n"/>
      <c r="G21" s="42" t="n"/>
      <c r="H21" s="40" t="n"/>
    </row>
    <row r="22" ht="15.75" customHeight="1" s="67">
      <c r="A22" s="23" t="inlineStr">
        <is>
          <t>No</t>
        </is>
      </c>
      <c r="B22" s="76" t="inlineStr">
        <is>
          <t>運送費　御見積内容</t>
        </is>
      </c>
      <c r="C22" s="77" t="n"/>
      <c r="D22" s="26" t="inlineStr">
        <is>
          <t>数量</t>
        </is>
      </c>
      <c r="E22" s="27" t="inlineStr">
        <is>
          <t>日数</t>
        </is>
      </c>
      <c r="F22" s="26" t="inlineStr">
        <is>
          <t>単価</t>
        </is>
      </c>
      <c r="G22" s="28" t="inlineStr">
        <is>
          <t>金額</t>
        </is>
      </c>
      <c r="H22" s="41" t="inlineStr">
        <is>
          <t>摘要</t>
        </is>
      </c>
    </row>
    <row r="23" ht="30" customHeight="1" s="67">
      <c r="A23" s="29" t="n">
        <v>5</v>
      </c>
      <c r="B23" s="32" t="inlineStr">
        <is>
          <t>配送料（10地区 往復）</t>
        </is>
      </c>
      <c r="C23" s="78" t="n"/>
      <c r="D23" s="32" t="n">
        <v>10</v>
      </c>
      <c r="E23" s="32" t="n">
        <v>1</v>
      </c>
      <c r="F23" s="42" t="inlineStr">
        <is>
          <t>別途</t>
        </is>
      </c>
      <c r="G23" s="43" t="inlineStr">
        <is>
          <t>別途請求</t>
        </is>
      </c>
      <c r="H23" s="40" t="inlineStr">
        <is>
          <t>北海道〜九州 10地区・実費</t>
        </is>
      </c>
    </row>
    <row r="24" ht="23.25" customHeight="1" s="67">
      <c r="A24" s="29" t="n">
        <v>6</v>
      </c>
      <c r="B24" s="79" t="n"/>
      <c r="C24" s="78" t="n"/>
      <c r="D24" s="32" t="n"/>
      <c r="E24" s="32" t="n"/>
      <c r="F24" s="42" t="n"/>
      <c r="G24" s="43" t="n"/>
      <c r="H24" s="44" t="inlineStr">
        <is>
          <t>※配送料は概算となります。　
ご請求時には実費請求とさせていただきます。</t>
        </is>
      </c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0" t="n"/>
    </row>
    <row r="26" ht="23.25" customHeight="1" s="67">
      <c r="A26" s="29" t="n">
        <v>8</v>
      </c>
      <c r="B26" s="81" t="n"/>
      <c r="C26" s="78" t="n"/>
      <c r="D26" s="46" t="n"/>
      <c r="E26" s="47" t="n"/>
      <c r="F26" s="48" t="n"/>
      <c r="G26" s="49" t="n"/>
      <c r="H26" s="5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8" t="n"/>
      <c r="H27" s="51" t="n"/>
    </row>
    <row r="28" ht="15.75" customHeight="1" s="67">
      <c r="A28" s="82" t="inlineStr">
        <is>
          <t>備考</t>
        </is>
      </c>
      <c r="B28" s="83" t="n"/>
      <c r="C28" s="83" t="n"/>
      <c r="D28" s="83" t="n"/>
      <c r="E28" s="83" t="n"/>
      <c r="F28" s="83" t="n"/>
      <c r="G28" s="83" t="n"/>
      <c r="H28" s="78" t="n"/>
    </row>
    <row r="29" ht="37.5" customHeight="1" s="67">
      <c r="A29" s="84" t="n"/>
      <c r="B29" s="83" t="n"/>
      <c r="C29" s="83" t="n"/>
      <c r="D29" s="83" t="n"/>
      <c r="E29" s="83" t="n"/>
      <c r="F29" s="83" t="n"/>
      <c r="G29" s="83" t="n"/>
      <c r="H29" s="78" t="n"/>
    </row>
    <row r="30" ht="13.5" customHeight="1" s="67">
      <c r="A30" s="85" t="inlineStr">
        <is>
          <t>小計</t>
        </is>
      </c>
      <c r="B30" s="86" t="n"/>
      <c r="C30" s="86" t="n"/>
      <c r="D30" s="86" t="n"/>
      <c r="E30" s="86" t="n"/>
      <c r="F30" s="87" t="n"/>
      <c r="G30" s="58">
        <f>SUM(G18:G21,G23:G25)</f>
        <v/>
      </c>
      <c r="H30" s="59" t="n"/>
    </row>
    <row r="31" ht="13.5" customHeight="1" s="67">
      <c r="A31" s="88" t="inlineStr">
        <is>
          <t>消費税(10%)</t>
        </is>
      </c>
      <c r="B31" s="83" t="n"/>
      <c r="C31" s="83" t="n"/>
      <c r="D31" s="83" t="n"/>
      <c r="E31" s="83" t="n"/>
      <c r="F31" s="78" t="n"/>
      <c r="G31" s="58">
        <f>G30*0.1</f>
        <v/>
      </c>
      <c r="H31" s="61" t="n"/>
    </row>
    <row r="32" ht="13.5" customHeight="1" s="67">
      <c r="A32" s="88" t="n"/>
      <c r="B32" s="83" t="n"/>
      <c r="C32" s="83" t="n"/>
      <c r="D32" s="83" t="n"/>
      <c r="E32" s="83" t="n"/>
      <c r="F32" s="78" t="n"/>
      <c r="G32" s="58" t="n"/>
      <c r="H32" s="61" t="n"/>
    </row>
    <row r="33" ht="13.5" customHeight="1" s="67">
      <c r="A33" s="88" t="inlineStr">
        <is>
          <t>合計金額</t>
        </is>
      </c>
      <c r="B33" s="83" t="n"/>
      <c r="C33" s="83" t="n"/>
      <c r="D33" s="83" t="n"/>
      <c r="E33" s="83" t="n"/>
      <c r="F33" s="78" t="n"/>
      <c r="G33" s="58">
        <f>SUM(G30:G32)</f>
        <v/>
      </c>
      <c r="H33" s="62" t="n"/>
    </row>
    <row r="34" ht="13.5" customHeight="1" s="67">
      <c r="A34" s="63" t="n"/>
      <c r="B34" s="63" t="n"/>
      <c r="C34" s="64" t="n"/>
      <c r="D34" s="64" t="n"/>
      <c r="E34" s="64" t="n"/>
      <c r="F34" s="64" t="n"/>
      <c r="G34" s="64" t="n"/>
      <c r="H34" s="64" t="n"/>
      <c r="I34" s="65" t="n"/>
      <c r="J34" s="65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1" t="n"/>
      <c r="B37" s="1" t="n"/>
      <c r="C37" s="1" t="n"/>
      <c r="D37" s="1" t="n"/>
      <c r="E37" s="1" t="n"/>
      <c r="F37" s="1" t="n"/>
      <c r="G37" s="1" t="n"/>
      <c r="H37" s="1" t="n"/>
    </row>
    <row r="38" ht="13.5" customHeight="1" s="67">
      <c r="A38" s="66" t="n"/>
      <c r="B38" s="66" t="n"/>
      <c r="C38" s="66" t="n"/>
      <c r="D38" s="66" t="n"/>
      <c r="E38" s="66" t="n"/>
      <c r="F38" s="66" t="n"/>
      <c r="G38" s="66" t="n"/>
      <c r="H38" s="66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/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0">
    <mergeCell ref="A12:B13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A31:F31"/>
    <mergeCell ref="A30:F30"/>
    <mergeCell ref="C12:E13"/>
    <mergeCell ref="A4:H4"/>
    <mergeCell ref="B24:C24"/>
    <mergeCell ref="A29:H29"/>
    <mergeCell ref="B20:C20"/>
    <mergeCell ref="A28:H28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3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>
        <f>TODAY()</f>
        <v/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株式会社新通エスピー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件名：エアー遊具レンタルについて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SUM(G34)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実施期間：2025年12月1日～2026年3月31日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28.5" customHeight="1" s="67">
      <c r="A18" s="29" t="n">
        <v>1</v>
      </c>
      <c r="B18" s="32" t="inlineStr">
        <is>
          <t>エアー遊具(12月分)</t>
        </is>
      </c>
      <c r="C18" s="78" t="n"/>
      <c r="D18" s="32" t="n">
        <v>1</v>
      </c>
      <c r="E18" s="32" t="inlineStr">
        <is>
          <t>一式</t>
        </is>
      </c>
      <c r="F18" s="42" t="inlineStr">
        <is>
          <t>一式</t>
        </is>
      </c>
      <c r="G18" s="42" t="n">
        <v>300000</v>
      </c>
      <c r="H18" s="34" t="n"/>
    </row>
    <row r="19" ht="28.5" customHeight="1" s="67">
      <c r="A19" s="29" t="n">
        <v>2</v>
      </c>
      <c r="B19" s="32" t="inlineStr">
        <is>
          <t>エアー遊具(1月分)</t>
        </is>
      </c>
      <c r="C19" s="78" t="n"/>
      <c r="D19" s="32" t="n">
        <v>1</v>
      </c>
      <c r="E19" s="32" t="inlineStr">
        <is>
          <t>一式</t>
        </is>
      </c>
      <c r="F19" s="42" t="inlineStr">
        <is>
          <t>一式</t>
        </is>
      </c>
      <c r="G19" s="42" t="n">
        <v>300000</v>
      </c>
      <c r="H19" s="34" t="n"/>
    </row>
    <row r="20" ht="28.5" customHeight="1" s="67">
      <c r="A20" s="29" t="n">
        <v>3</v>
      </c>
      <c r="B20" s="32" t="inlineStr">
        <is>
          <t>エアー遊具(2月分)</t>
        </is>
      </c>
      <c r="C20" s="78" t="n"/>
      <c r="D20" s="32" t="n">
        <v>1</v>
      </c>
      <c r="E20" s="32" t="inlineStr">
        <is>
          <t>一式</t>
        </is>
      </c>
      <c r="F20" s="42" t="inlineStr">
        <is>
          <t>一式</t>
        </is>
      </c>
      <c r="G20" s="42" t="n">
        <v>300000</v>
      </c>
      <c r="H20" s="34" t="n"/>
    </row>
    <row r="21" ht="28.5" customHeight="1" s="67">
      <c r="A21" s="29" t="n">
        <v>4</v>
      </c>
      <c r="B21" s="32" t="inlineStr">
        <is>
          <t>エアー遊具(3月分)</t>
        </is>
      </c>
      <c r="C21" s="78" t="n"/>
      <c r="D21" s="32" t="n">
        <v>1</v>
      </c>
      <c r="E21" s="32" t="inlineStr">
        <is>
          <t>一式</t>
        </is>
      </c>
      <c r="F21" s="42" t="inlineStr">
        <is>
          <t>一式</t>
        </is>
      </c>
      <c r="G21" s="42" t="n">
        <v>300000</v>
      </c>
      <c r="H21" s="34" t="n"/>
    </row>
    <row r="22" ht="23.25" customHeight="1" s="67">
      <c r="A22" s="29" t="n">
        <v>5</v>
      </c>
      <c r="B22" s="32" t="n"/>
      <c r="C22" s="78" t="n"/>
      <c r="D22" s="32" t="n"/>
      <c r="E22" s="32" t="n"/>
      <c r="F22" s="42" t="n"/>
      <c r="G22" s="42" t="n"/>
      <c r="H22" s="40" t="n"/>
    </row>
    <row r="23" ht="15.75" customHeight="1" s="67">
      <c r="A23" s="23" t="inlineStr">
        <is>
          <t>No</t>
        </is>
      </c>
      <c r="B23" s="76" t="inlineStr">
        <is>
          <t>運送費　御見積内容</t>
        </is>
      </c>
      <c r="C23" s="77" t="n"/>
      <c r="D23" s="26" t="inlineStr">
        <is>
          <t>数量</t>
        </is>
      </c>
      <c r="E23" s="27" t="inlineStr">
        <is>
          <t>日数</t>
        </is>
      </c>
      <c r="F23" s="26" t="inlineStr">
        <is>
          <t>単価</t>
        </is>
      </c>
      <c r="G23" s="28" t="inlineStr">
        <is>
          <t>金額</t>
        </is>
      </c>
      <c r="H23" s="41" t="inlineStr">
        <is>
          <t>摘要</t>
        </is>
      </c>
    </row>
    <row r="24" ht="30" customHeight="1" s="67">
      <c r="A24" s="29" t="n">
        <v>6</v>
      </c>
      <c r="B24" s="32" t="n"/>
      <c r="C24" s="78" t="n"/>
      <c r="D24" s="32" t="n"/>
      <c r="E24" s="32" t="n"/>
      <c r="F24" s="42" t="n"/>
      <c r="G24" s="43" t="n"/>
      <c r="H24" s="40" t="n"/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4" t="n"/>
    </row>
    <row r="26" ht="23.25" customHeight="1" s="67">
      <c r="A26" s="29" t="n">
        <v>8</v>
      </c>
      <c r="B26" s="79" t="n"/>
      <c r="C26" s="78" t="n"/>
      <c r="D26" s="32" t="n"/>
      <c r="E26" s="32" t="n"/>
      <c r="F26" s="42" t="n"/>
      <c r="G26" s="43" t="n"/>
      <c r="H26" s="4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9" t="n"/>
      <c r="H27" s="50" t="n"/>
    </row>
    <row r="28" ht="23.25" customHeight="1" s="67">
      <c r="A28" s="29" t="n">
        <v>10</v>
      </c>
      <c r="B28" s="81" t="n"/>
      <c r="C28" s="78" t="n"/>
      <c r="D28" s="46" t="n"/>
      <c r="E28" s="47" t="n"/>
      <c r="F28" s="48" t="n"/>
      <c r="G28" s="48" t="n"/>
      <c r="H28" s="51" t="n"/>
    </row>
    <row r="29" ht="15.75" customHeight="1" s="67">
      <c r="A29" s="82" t="inlineStr">
        <is>
          <t>備考</t>
        </is>
      </c>
      <c r="B29" s="83" t="n"/>
      <c r="C29" s="83" t="n"/>
      <c r="D29" s="83" t="n"/>
      <c r="E29" s="83" t="n"/>
      <c r="F29" s="83" t="n"/>
      <c r="G29" s="83" t="n"/>
      <c r="H29" s="78" t="n"/>
    </row>
    <row r="30" ht="37.5" customHeight="1" s="67">
      <c r="A30" s="84" t="n"/>
      <c r="B30" s="83" t="n"/>
      <c r="C30" s="83" t="n"/>
      <c r="D30" s="83" t="n"/>
      <c r="E30" s="83" t="n"/>
      <c r="F30" s="83" t="n"/>
      <c r="G30" s="83" t="n"/>
      <c r="H30" s="78" t="n"/>
    </row>
    <row r="31" ht="13.5" customHeight="1" s="67">
      <c r="A31" s="85" t="inlineStr">
        <is>
          <t>小計</t>
        </is>
      </c>
      <c r="B31" s="86" t="n"/>
      <c r="C31" s="86" t="n"/>
      <c r="D31" s="86" t="n"/>
      <c r="E31" s="86" t="n"/>
      <c r="F31" s="87" t="n"/>
      <c r="G31" s="58">
        <f>SUM(G18:G22,G24:G26)</f>
        <v/>
      </c>
      <c r="H31" s="59" t="n"/>
    </row>
    <row r="32" ht="13.5" customHeight="1" s="67">
      <c r="A32" s="88" t="inlineStr">
        <is>
          <t>消費税(10%)</t>
        </is>
      </c>
      <c r="B32" s="83" t="n"/>
      <c r="C32" s="83" t="n"/>
      <c r="D32" s="83" t="n"/>
      <c r="E32" s="83" t="n"/>
      <c r="F32" s="78" t="n"/>
      <c r="G32" s="58">
        <f>G31*0.1</f>
        <v/>
      </c>
      <c r="H32" s="61" t="n"/>
    </row>
    <row r="33" ht="13.5" customHeight="1" s="67">
      <c r="A33" s="88" t="n"/>
      <c r="B33" s="83" t="n"/>
      <c r="C33" s="83" t="n"/>
      <c r="D33" s="83" t="n"/>
      <c r="E33" s="83" t="n"/>
      <c r="F33" s="78" t="n"/>
      <c r="G33" s="58" t="n"/>
      <c r="H33" s="61" t="n"/>
    </row>
    <row r="34" ht="13.5" customHeight="1" s="67">
      <c r="A34" s="88" t="inlineStr">
        <is>
          <t>合計金額</t>
        </is>
      </c>
      <c r="B34" s="83" t="n"/>
      <c r="C34" s="83" t="n"/>
      <c r="D34" s="83" t="n"/>
      <c r="E34" s="83" t="n"/>
      <c r="F34" s="78" t="n"/>
      <c r="G34" s="58">
        <f>SUM(G31:G33)</f>
        <v/>
      </c>
      <c r="H34" s="62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63" t="n"/>
      <c r="B37" s="63" t="n"/>
      <c r="C37" s="64" t="n"/>
      <c r="D37" s="64" t="n"/>
      <c r="E37" s="64" t="n"/>
      <c r="F37" s="64" t="n"/>
      <c r="G37" s="64" t="n"/>
      <c r="H37" s="64" t="n"/>
      <c r="I37" s="65" t="n"/>
      <c r="J37" s="65" t="n"/>
    </row>
    <row r="38" ht="13.5" customHeight="1" s="67">
      <c r="A38" s="1" t="n"/>
      <c r="B38" s="1" t="n"/>
      <c r="C38" s="1" t="n"/>
      <c r="D38" s="1" t="n"/>
      <c r="E38" s="1" t="n"/>
      <c r="F38" s="1" t="n"/>
      <c r="G38" s="1" t="n"/>
      <c r="H38" s="1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>
      <c r="A43" s="66" t="n"/>
      <c r="B43" s="66" t="n"/>
      <c r="C43" s="66" t="n"/>
      <c r="D43" s="66" t="n"/>
      <c r="E43" s="66" t="n"/>
      <c r="F43" s="66" t="n"/>
      <c r="G43" s="66" t="n"/>
      <c r="H43" s="66" t="n"/>
    </row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3.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1">
    <mergeCell ref="A12:B13"/>
    <mergeCell ref="A30:H30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B28:C28"/>
    <mergeCell ref="A31:F31"/>
    <mergeCell ref="A34:F34"/>
    <mergeCell ref="C12:E13"/>
    <mergeCell ref="A4:H4"/>
    <mergeCell ref="B24:C24"/>
    <mergeCell ref="A29:H29"/>
    <mergeCell ref="B20:C20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visccus04</dc:creator>
  <dcterms:created xmlns:dcterms="http://purl.org/dc/terms/" xmlns:xsi="http://www.w3.org/2001/XMLSchema-instance" xsi:type="dcterms:W3CDTF">2013-05-14T04:48:22Z</dcterms:created>
  <dcterms:modified xmlns:dcterms="http://purl.org/dc/terms/" xmlns:xsi="http://www.w3.org/2001/XMLSchema-instance" xsi:type="dcterms:W3CDTF">2026-10-20T08:13:09Z</dcterms:modified>
</cp:coreProperties>
</file>