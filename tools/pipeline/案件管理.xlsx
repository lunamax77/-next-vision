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  <sheet name="ダッシュボード" sheetId="2" state="visible" r:id="rId2"/>
  </sheets>
  <definedNames>
    <definedName name="_xlnm._FilterDatabase" localSheetId="0" hidden="1">'案件一覧'!$A$1:$P$1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/d"/>
    <numFmt numFmtId="166" formatCode="¥#,##0"/>
  </numFmts>
  <fonts count="5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b val="1"/>
      <color rgb="000B2545"/>
      <sz val="16"/>
    </font>
    <font>
      <b val="1"/>
    </font>
    <font>
      <color rgb="005A6E8C"/>
      <sz val="9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2">
    <border>
      <left/>
      <right/>
      <top/>
      <bottom/>
      <diagonal/>
    </border>
    <border>
      <left style="thin">
        <color rgb="00DFE7F2"/>
      </left>
      <right style="thin">
        <color rgb="00DFE7F2"/>
      </right>
      <top style="thin">
        <color rgb="00DFE7F2"/>
      </top>
      <bottom style="thin">
        <color rgb="00DFE7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4" customWidth="1" min="4" max="4"/>
    <col width="20" customWidth="1" min="5" max="5"/>
    <col width="22" customWidth="1" min="6" max="6"/>
    <col width="15" customWidth="1" min="7" max="7"/>
    <col width="11" customWidth="1" min="8" max="8"/>
    <col width="14" customWidth="1" min="9" max="9"/>
    <col width="11" customWidth="1" min="10" max="10"/>
    <col width="12" customWidth="1" min="11" max="11"/>
    <col width="12" customWidth="1" min="12" max="12"/>
    <col width="7" customWidth="1" min="13" max="13"/>
    <col width="9" customWidth="1" min="14" max="14"/>
    <col width="20" customWidth="1" min="15" max="15"/>
    <col width="22" customWidth="1" min="16" max="16"/>
  </cols>
  <sheetData>
    <row r="1">
      <c r="A1" s="1" t="inlineStr">
        <is>
          <t>案件ID</t>
        </is>
      </c>
      <c r="B1" s="1" t="inlineStr">
        <is>
          <t>受付日</t>
        </is>
      </c>
      <c r="C1" s="1" t="inlineStr">
        <is>
          <t>顧客名</t>
        </is>
      </c>
      <c r="D1" s="1" t="inlineStr">
        <is>
          <t>経路/業種</t>
        </is>
      </c>
      <c r="E1" s="1" t="inlineStr">
        <is>
          <t>案件内容</t>
        </is>
      </c>
      <c r="F1" s="1" t="inlineStr">
        <is>
          <t>主なコンテンツ</t>
        </is>
      </c>
      <c r="G1" s="1" t="inlineStr">
        <is>
          <t>プラン</t>
        </is>
      </c>
      <c r="H1" s="1" t="inlineStr">
        <is>
          <t>開催日</t>
        </is>
      </c>
      <c r="I1" s="1" t="inlineStr">
        <is>
          <t>会場</t>
        </is>
      </c>
      <c r="J1" s="1" t="inlineStr">
        <is>
          <t>ステータス</t>
        </is>
      </c>
      <c r="K1" s="1" t="inlineStr">
        <is>
          <t>見積(税込)</t>
        </is>
      </c>
      <c r="L1" s="1" t="inlineStr">
        <is>
          <t>請求(税込)</t>
        </is>
      </c>
      <c r="M1" s="1" t="inlineStr">
        <is>
          <t>入金</t>
        </is>
      </c>
      <c r="N1" s="1" t="inlineStr">
        <is>
          <t>担当</t>
        </is>
      </c>
      <c r="O1" s="1" t="inlineStr">
        <is>
          <t>次アクション</t>
        </is>
      </c>
      <c r="P1" s="1" t="inlineStr">
        <is>
          <t>備考</t>
        </is>
      </c>
    </row>
    <row r="2">
      <c r="A2" s="2" t="inlineStr">
        <is>
          <t>NV-2026-001</t>
        </is>
      </c>
      <c r="B2" s="3" t="n">
        <v>45962</v>
      </c>
      <c r="C2" s="2" t="inlineStr">
        <is>
          <t>株式会社新通エスピー</t>
        </is>
      </c>
      <c r="D2" s="2" t="inlineStr">
        <is>
          <t>既存/イベント</t>
        </is>
      </c>
      <c r="E2" s="4" t="inlineStr">
        <is>
          <t>エアー遊具 月次レンタル</t>
        </is>
      </c>
      <c r="F2" s="4" t="inlineStr">
        <is>
          <t>エアー遊具</t>
        </is>
      </c>
      <c r="G2" s="2" t="inlineStr">
        <is>
          <t>機材レンタルのみ</t>
        </is>
      </c>
      <c r="H2" s="3" t="n">
        <v>46082</v>
      </c>
      <c r="I2" s="2" t="inlineStr">
        <is>
          <t>各会場</t>
        </is>
      </c>
      <c r="J2" s="2" t="inlineStr">
        <is>
          <t>入金済</t>
        </is>
      </c>
      <c r="K2" s="5" t="n">
        <v>330000</v>
      </c>
      <c r="L2" s="5" t="n">
        <v>330000</v>
      </c>
      <c r="M2" s="2" t="inlineStr">
        <is>
          <t>済</t>
        </is>
      </c>
      <c r="N2" s="2" t="inlineStr">
        <is>
          <t>竹村</t>
        </is>
      </c>
      <c r="O2" s="4" t="inlineStr">
        <is>
          <t>4月度分の見積送付</t>
        </is>
      </c>
      <c r="P2" s="4" t="inlineStr">
        <is>
          <t>継続案件(R7.11〜)</t>
        </is>
      </c>
    </row>
    <row r="3">
      <c r="A3" s="2" t="inlineStr">
        <is>
          <t>NV-2026-002</t>
        </is>
      </c>
      <c r="B3" s="3" t="n">
        <v>46223</v>
      </c>
      <c r="C3" s="2" t="inlineStr">
        <is>
          <t>(サンプル)◯◯モール</t>
        </is>
      </c>
      <c r="D3" s="2" t="inlineStr">
        <is>
          <t>HP問合せ/商業施設</t>
        </is>
      </c>
      <c r="E3" s="4" t="inlineStr">
        <is>
          <t>夏休みキッズイベント</t>
        </is>
      </c>
      <c r="F3" s="4" t="inlineStr">
        <is>
          <t>キッズライセンスパーク＋エア遊具</t>
        </is>
      </c>
      <c r="G3" s="2" t="inlineStr">
        <is>
          <t>運営代行込み</t>
        </is>
      </c>
      <c r="H3" s="3" t="n">
        <v>46254</v>
      </c>
      <c r="I3" s="2" t="inlineStr">
        <is>
          <t>セントラルコート</t>
        </is>
      </c>
      <c r="J3" s="2" t="inlineStr">
        <is>
          <t>見積提出</t>
        </is>
      </c>
      <c r="K3" s="5" t="n">
        <v>495000</v>
      </c>
      <c r="L3" s="5" t="n"/>
      <c r="M3" s="2" t="inlineStr"/>
      <c r="N3" s="2" t="inlineStr">
        <is>
          <t>竹村</t>
        </is>
      </c>
      <c r="O3" s="4" t="inlineStr">
        <is>
          <t>8/8までに返答予定</t>
        </is>
      </c>
      <c r="P3" s="4" t="inlineStr">
        <is>
          <t>★サンプル行(要差し替え)</t>
        </is>
      </c>
    </row>
    <row r="4">
      <c r="A4" s="2" t="inlineStr">
        <is>
          <t>NV-2026-003</t>
        </is>
      </c>
      <c r="B4" s="3" t="n">
        <v>46231</v>
      </c>
      <c r="C4" s="2" t="inlineStr">
        <is>
          <t>(サンプル)△△自動車 販売店</t>
        </is>
      </c>
      <c r="D4" s="2" t="inlineStr">
        <is>
          <t>紹介/店舗集客</t>
        </is>
      </c>
      <c r="E4" s="4" t="inlineStr">
        <is>
          <t>週末来店フェア</t>
        </is>
      </c>
      <c r="F4" s="4" t="inlineStr">
        <is>
          <t>スクイーズWS＋カーニバル</t>
        </is>
      </c>
      <c r="G4" s="2" t="inlineStr">
        <is>
          <t>機材レンタルのみ</t>
        </is>
      </c>
      <c r="H4" s="3" t="n">
        <v>46272</v>
      </c>
      <c r="I4" s="2" t="inlineStr">
        <is>
          <t>店頭特設</t>
        </is>
      </c>
      <c r="J4" s="2" t="inlineStr">
        <is>
          <t>ヒアリング</t>
        </is>
      </c>
      <c r="K4" s="5" t="n"/>
      <c r="L4" s="5" t="n"/>
      <c r="M4" s="2" t="inlineStr"/>
      <c r="N4" s="2" t="inlineStr">
        <is>
          <t>竹村</t>
        </is>
      </c>
      <c r="O4" s="4" t="inlineStr">
        <is>
          <t>会場図面を依頼</t>
        </is>
      </c>
      <c r="P4" s="4" t="inlineStr">
        <is>
          <t>★サンプル行(要差し替え)</t>
        </is>
      </c>
    </row>
  </sheetData>
  <autoFilter ref="A1:P1"/>
  <dataValidations count="3">
    <dataValidation sqref="J2:J400" showDropDown="0" showInputMessage="0" showErrorMessage="0" allowBlank="1" type="list">
      <formula1>"問合せ,ヒアリング,見積提出,受注,開催準備,開催済,請求済,入金済,失注/保留"</formula1>
    </dataValidation>
    <dataValidation sqref="G2:G400" showDropDown="0" showInputMessage="0" showErrorMessage="0" allowBlank="1" type="list">
      <formula1>"機材レンタルのみ,運営代行込み,設営・撤収のみ,相談中"</formula1>
    </dataValidation>
    <dataValidation sqref="M2:M400" showDropDown="0" showInputMessage="0" showErrorMessage="0" allowBlank="1" type="list">
      <formula1>"未,一部,済"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4" max="4"/>
    <col width="16" customWidth="1" min="5" max="5"/>
  </cols>
  <sheetData>
    <row r="1">
      <c r="A1" s="6" t="inlineStr">
        <is>
          <t>案件ダッシュボード</t>
        </is>
      </c>
    </row>
    <row r="3">
      <c r="A3" s="7" t="inlineStr">
        <is>
          <t>ステータス別 件数</t>
        </is>
      </c>
      <c r="D3" s="7" t="inlineStr">
        <is>
          <t>金額サマリー(税込)</t>
        </is>
      </c>
    </row>
    <row r="4">
      <c r="A4" t="inlineStr">
        <is>
          <t>問合せ</t>
        </is>
      </c>
      <c r="B4">
        <f>COUNTIF(案件一覧!$J$2:$J$400,A4)</f>
        <v/>
      </c>
      <c r="D4" t="inlineStr">
        <is>
          <t>パイプライン見込(見積合計)</t>
        </is>
      </c>
      <c r="E4" s="8">
        <f>SUM(案件一覧!$K$2:$K$400)</f>
        <v/>
      </c>
    </row>
    <row r="5">
      <c r="A5" t="inlineStr">
        <is>
          <t>ヒアリング</t>
        </is>
      </c>
      <c r="B5">
        <f>COUNTIF(案件一覧!$J$2:$J$400,A5)</f>
        <v/>
      </c>
      <c r="D5" t="inlineStr">
        <is>
          <t>受注以降の見積額</t>
        </is>
      </c>
      <c r="E5" s="8">
        <f>SUMIFS(案件一覧!$K$2:$K$400,案件一覧!$J$2:$J$400,"受注")+SUMIFS(案件一覧!$K$2:$K$400,案件一覧!$J$2:$J$400,"開催準備")+SUMIFS(案件一覧!$K$2:$K$400,案件一覧!$J$2:$J$400,"開催済")</f>
        <v/>
      </c>
    </row>
    <row r="6">
      <c r="A6" t="inlineStr">
        <is>
          <t>見積提出</t>
        </is>
      </c>
      <c r="B6">
        <f>COUNTIF(案件一覧!$J$2:$J$400,A6)</f>
        <v/>
      </c>
      <c r="D6" t="inlineStr">
        <is>
          <t>請求済 合計</t>
        </is>
      </c>
      <c r="E6" s="8">
        <f>SUM(案件一覧!$L$2:$L$400)</f>
        <v/>
      </c>
    </row>
    <row r="7">
      <c r="A7" t="inlineStr">
        <is>
          <t>受注</t>
        </is>
      </c>
      <c r="B7">
        <f>COUNTIF(案件一覧!$J$2:$J$400,A7)</f>
        <v/>
      </c>
      <c r="D7" t="inlineStr">
        <is>
          <t>入金済 合計</t>
        </is>
      </c>
      <c r="E7" s="8">
        <f>SUMIFS(案件一覧!$L$2:$L$400,案件一覧!$M$2:$M$400,"済")</f>
        <v/>
      </c>
    </row>
    <row r="8">
      <c r="A8" t="inlineStr">
        <is>
          <t>開催準備</t>
        </is>
      </c>
      <c r="B8">
        <f>COUNTIF(案件一覧!$J$2:$J$400,A8)</f>
        <v/>
      </c>
      <c r="D8" t="inlineStr">
        <is>
          <t>未入金 残</t>
        </is>
      </c>
      <c r="E8" s="8">
        <f>SUM(案件一覧!$L$2:$L$400)-SUMIFS(案件一覧!$L$2:$L$400,案件一覧!$M$2:$M$400,"済")</f>
        <v/>
      </c>
    </row>
    <row r="9">
      <c r="A9" t="inlineStr">
        <is>
          <t>開催済</t>
        </is>
      </c>
      <c r="B9">
        <f>COUNTIF(案件一覧!$J$2:$J$400,A9)</f>
        <v/>
      </c>
    </row>
    <row r="10">
      <c r="A10" t="inlineStr">
        <is>
          <t>請求済</t>
        </is>
      </c>
      <c r="B10">
        <f>COUNTIF(案件一覧!$J$2:$J$400,A10)</f>
        <v/>
      </c>
    </row>
    <row r="11">
      <c r="A11" s="9" t="inlineStr">
        <is>
          <t>※金額は税込。ステータス・入金はプルダウンで入力。行は400行目まで数式対応。</t>
        </is>
      </c>
      <c r="B11">
        <f>COUNTIF(案件一覧!$J$2:$J$400,A11)</f>
        <v/>
      </c>
    </row>
    <row r="12">
      <c r="A12" t="inlineStr">
        <is>
          <t>失注/保留</t>
        </is>
      </c>
      <c r="B12">
        <f>COUNTIF(案件一覧!$J$2:$J$400,A12)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2026-08-06T08:54:02Z</dcterms:created>
  <dcterms:modified xsi:type="dcterms:W3CDTF">2026-08-06T08:54:02Z</dcterms:modified>
</cp:coreProperties>
</file>