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御見積書11月" sheetId="1" r:id="rId4"/>
    <sheet state="visible" name="御見積書 12月-3月" sheetId="2" r:id="rId5"/>
  </sheets>
  <definedNames/>
  <calcPr/>
  <extLst>
    <ext uri="GoogleSheetsCustomDataVersion2">
      <go:sheetsCustomData xmlns:go="http://customooxmlschemas.google.com/" r:id="rId6" roundtripDataChecksum="dB9tCIzN0asVigSA6X5aijPQ8zcP/GTImbhD3ThYTvQ="/>
    </ext>
  </extLst>
</workbook>
</file>

<file path=xl/sharedStrings.xml><?xml version="1.0" encoding="utf-8"?>
<sst xmlns="http://schemas.openxmlformats.org/spreadsheetml/2006/main" count="82" uniqueCount="37">
  <si>
    <t>日付</t>
  </si>
  <si>
    <t>担当</t>
  </si>
  <si>
    <t>竹村英哲</t>
  </si>
  <si>
    <t>御見積書</t>
  </si>
  <si>
    <t>株式会社新通エスピー 御中</t>
  </si>
  <si>
    <t>件名：エアー遊具レンタルについて</t>
  </si>
  <si>
    <t>下記の通り御見積申し上げます。</t>
  </si>
  <si>
    <t xml:space="preserve">　　　　株式会社DreamCreation</t>
  </si>
  <si>
    <t xml:space="preserve">　　　　〒550-0015　大阪府大阪市西区南堀江1-10-1</t>
  </si>
  <si>
    <t>御見積金額</t>
  </si>
  <si>
    <t xml:space="preserve">　　　　　KT堀江801</t>
  </si>
  <si>
    <t xml:space="preserve">　　　　TEL：06-4967-1038</t>
  </si>
  <si>
    <t xml:space="preserve">　　　　MAIL：data@d-creation-o.com</t>
  </si>
  <si>
    <t>実施期間：2025年11月1日～2025年11月30日</t>
  </si>
  <si>
    <t>No</t>
  </si>
  <si>
    <t>レンタル費　御見積内容</t>
  </si>
  <si>
    <t>数量</t>
  </si>
  <si>
    <t>日数</t>
  </si>
  <si>
    <t>単価</t>
  </si>
  <si>
    <t>金額</t>
  </si>
  <si>
    <t>摘要</t>
  </si>
  <si>
    <t>エアー遊具</t>
  </si>
  <si>
    <t>一式</t>
  </si>
  <si>
    <t>※運送料別</t>
  </si>
  <si>
    <t>運送費　御見積内容</t>
  </si>
  <si>
    <t>配送料金(片道)　大阪→福岡</t>
  </si>
  <si>
    <t>バルーン本体(大箱)
コンプレッサー(中箱)　の2つで1セット</t>
  </si>
  <si>
    <t>※配送料は概算となります。　
ご請求時には実費請求とさせていただきます。</t>
  </si>
  <si>
    <t>備考</t>
  </si>
  <si>
    <t>小計</t>
  </si>
  <si>
    <t>消費税(10%)</t>
  </si>
  <si>
    <t>合計金額</t>
  </si>
  <si>
    <t>実施期間：2025年12月1日～2026年3月31日</t>
  </si>
  <si>
    <t>エアー遊具(12月分)</t>
  </si>
  <si>
    <t>エアー遊具(1月分)</t>
  </si>
  <si>
    <t>エアー遊具(2月分)</t>
  </si>
  <si>
    <t>エアー遊具(3月分)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</si>
</sst>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&quot;年&quot;m&quot;月&quot;d&quot;日&quot;"/>
    <numFmt numFmtId="165" formatCode="[$￥-411]#,##0;[Red]\-[$￥-411]#,##0"/>
    <numFmt numFmtId="166" formatCode="\\#,##0_);[Red]&quot;(\&quot;#,##0\)"/>
    <numFmt numFmtId="167" formatCode="0_);[Red]\(0\)"/>
    <numFmt numFmtId="168" formatCode="\\#,##0;[Red]&quot;\-&quot;#,##0"/>
  </numFmts>
  <fonts count="32">
    <font>
      <sz val="11.0"/>
      <color rgb="FF000000"/>
      <name val="Calibri"/>
      <scheme val="minor"/>
    </font>
    <font>
      <sz val="11.0"/>
      <color theme="1"/>
      <name val="游ゴシック"/>
    </font>
    <font>
      <i/>
      <sz val="11.0"/>
      <color theme="1"/>
      <name val="游ゴシック"/>
    </font>
    <font>
      <b/>
      <i/>
      <sz val="9.0"/>
      <color theme="1"/>
      <name val="游ゴシック"/>
    </font>
    <font>
      <b/>
      <sz val="22.0"/>
      <color theme="1"/>
      <name val="游ゴシック"/>
    </font>
    <font/>
    <font>
      <b/>
      <sz val="18.0"/>
      <color theme="1"/>
      <name val="MS PMincho"/>
    </font>
    <font>
      <u/>
      <sz val="12.0"/>
      <color theme="1"/>
      <name val="游ゴシック"/>
    </font>
    <font>
      <u/>
      <sz val="8.0"/>
      <color theme="1"/>
      <name val="游ゴシック"/>
    </font>
    <font>
      <u/>
      <sz val="9.0"/>
      <color theme="1"/>
      <name val="游ゴシック"/>
    </font>
    <font>
      <b/>
      <sz val="6.0"/>
      <color theme="1"/>
      <name val="游ゴシック"/>
    </font>
    <font>
      <b/>
      <i/>
      <sz val="16.0"/>
      <color theme="1"/>
      <name val="游ゴシック"/>
    </font>
    <font>
      <b/>
      <i/>
      <sz val="14.0"/>
      <color theme="1"/>
      <name val="游ゴシック"/>
    </font>
    <font>
      <b/>
      <i/>
      <u/>
      <sz val="14.0"/>
      <color theme="1"/>
      <name val="游ゴシック"/>
    </font>
    <font>
      <b/>
      <sz val="8.0"/>
      <color theme="1"/>
      <name val="游ゴシック"/>
    </font>
    <font>
      <i/>
      <sz val="7.0"/>
      <color theme="1"/>
      <name val="游ゴシック"/>
    </font>
    <font>
      <i/>
      <sz val="7.0"/>
      <color rgb="FF3F3F3F"/>
      <name val="游ゴシック"/>
    </font>
    <font>
      <i/>
      <sz val="6.0"/>
      <color theme="1"/>
      <name val="游ゴシック"/>
    </font>
    <font>
      <sz val="7.0"/>
      <color theme="1"/>
      <name val="游ゴシック"/>
    </font>
    <font>
      <sz val="7.0"/>
      <color rgb="FF3F3F3F"/>
      <name val="游ゴシック"/>
    </font>
    <font>
      <sz val="6.0"/>
      <color rgb="FF3F3F3F"/>
      <name val="游ゴシック"/>
    </font>
    <font>
      <sz val="6.0"/>
      <color theme="1"/>
      <name val="游ゴシック"/>
    </font>
    <font>
      <i/>
      <sz val="6.0"/>
      <color rgb="FF3F3F3F"/>
      <name val="游ゴシック"/>
    </font>
    <font>
      <sz val="10.0"/>
      <color theme="1"/>
      <name val="游ゴシック"/>
    </font>
    <font>
      <i/>
      <sz val="9.0"/>
      <color theme="1"/>
      <name val="游ゴシック"/>
    </font>
    <font>
      <sz val="9.0"/>
      <color rgb="FF3F3F3F"/>
      <name val="游ゴシック"/>
    </font>
    <font>
      <sz val="8.0"/>
      <color rgb="FF3F3F3F"/>
      <name val="游ゴシック"/>
    </font>
    <font>
      <b/>
      <i/>
      <sz val="8.0"/>
      <color theme="1"/>
      <name val="游ゴシック"/>
    </font>
    <font>
      <i/>
      <sz val="10.0"/>
      <color theme="1"/>
      <name val="游ゴシック"/>
    </font>
    <font>
      <i/>
      <sz val="10.0"/>
      <color rgb="FF000000"/>
      <name val="游ゴシック"/>
    </font>
    <font>
      <sz val="10.0"/>
      <color theme="1"/>
      <name val="Meiryo"/>
    </font>
    <font>
      <sz val="11.0"/>
      <color theme="1"/>
      <name val="Meiryo"/>
    </font>
  </fonts>
  <fills count="4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8D8D8"/>
        <bgColor rgb="FFD8D8D8"/>
      </patternFill>
    </fill>
  </fills>
  <borders count="26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right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8" numFmtId="0" xfId="0" applyFont="1"/>
    <xf borderId="0" fillId="0" fontId="9" numFmtId="0" xfId="0" applyFont="1"/>
    <xf borderId="0" fillId="0" fontId="10" numFmtId="0" xfId="0" applyFont="1"/>
    <xf borderId="4" fillId="0" fontId="11" numFmtId="0" xfId="0" applyAlignment="1" applyBorder="1" applyFont="1">
      <alignment horizontal="center" vertical="center"/>
    </xf>
    <xf borderId="5" fillId="0" fontId="5" numFmtId="0" xfId="0" applyBorder="1" applyFont="1"/>
    <xf borderId="4" fillId="0" fontId="12" numFmtId="165" xfId="0" applyAlignment="1" applyBorder="1" applyFont="1" applyNumberFormat="1">
      <alignment horizontal="center" vertical="center"/>
    </xf>
    <xf borderId="6" fillId="0" fontId="5" numFmtId="0" xfId="0" applyBorder="1" applyFont="1"/>
    <xf borderId="0" fillId="0" fontId="13" numFmtId="165" xfId="0" applyAlignment="1" applyFont="1" applyNumberForma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0" fillId="0" fontId="14" numFmtId="0" xfId="0" applyFont="1"/>
    <xf borderId="10" fillId="3" fontId="3" numFmtId="0" xfId="0" applyAlignment="1" applyBorder="1" applyFill="1" applyFont="1">
      <alignment vertical="center"/>
    </xf>
    <xf borderId="11" fillId="3" fontId="3" numFmtId="0" xfId="0" applyAlignment="1" applyBorder="1" applyFont="1">
      <alignment horizontal="center" vertical="center"/>
    </xf>
    <xf borderId="12" fillId="0" fontId="5" numFmtId="0" xfId="0" applyBorder="1" applyFont="1"/>
    <xf borderId="10" fillId="3" fontId="3" numFmtId="0" xfId="0" applyAlignment="1" applyBorder="1" applyFont="1">
      <alignment horizontal="center" vertical="center"/>
    </xf>
    <xf borderId="13" fillId="3" fontId="3" numFmtId="0" xfId="0" applyAlignment="1" applyBorder="1" applyFont="1">
      <alignment horizontal="center" vertical="center"/>
    </xf>
    <xf borderId="14" fillId="3" fontId="3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/>
    </xf>
    <xf borderId="15" fillId="0" fontId="15" numFmtId="0" xfId="0" applyAlignment="1" applyBorder="1" applyFont="1">
      <alignment horizontal="center" shrinkToFit="1" vertical="center" wrapText="0"/>
    </xf>
    <xf borderId="16" fillId="0" fontId="5" numFmtId="0" xfId="0" applyBorder="1" applyFont="1"/>
    <xf borderId="10" fillId="0" fontId="15" numFmtId="0" xfId="0" applyAlignment="1" applyBorder="1" applyFont="1">
      <alignment horizontal="center" shrinkToFit="1" vertical="center" wrapText="0"/>
    </xf>
    <xf borderId="17" fillId="0" fontId="16" numFmtId="166" xfId="0" applyAlignment="1" applyBorder="1" applyFont="1" applyNumberFormat="1">
      <alignment horizontal="center" vertical="center"/>
    </xf>
    <xf borderId="10" fillId="0" fontId="17" numFmtId="166" xfId="0" applyAlignment="1" applyBorder="1" applyFont="1" applyNumberFormat="1">
      <alignment horizontal="left" vertical="center"/>
    </xf>
    <xf borderId="15" fillId="0" fontId="18" numFmtId="0" xfId="0" applyAlignment="1" applyBorder="1" applyFont="1">
      <alignment horizontal="center" shrinkToFit="1" vertical="center" wrapText="0"/>
    </xf>
    <xf borderId="18" fillId="0" fontId="19" numFmtId="167" xfId="0" applyAlignment="1" applyBorder="1" applyFont="1" applyNumberFormat="1">
      <alignment horizontal="center" vertical="center"/>
    </xf>
    <xf borderId="17" fillId="0" fontId="19" numFmtId="166" xfId="0" applyAlignment="1" applyBorder="1" applyFont="1" applyNumberFormat="1">
      <alignment horizontal="center" vertical="center"/>
    </xf>
    <xf borderId="10" fillId="0" fontId="20" numFmtId="166" xfId="0" applyAlignment="1" applyBorder="1" applyFont="1" applyNumberFormat="1">
      <alignment horizontal="center" shrinkToFit="0" wrapText="1"/>
    </xf>
    <xf borderId="15" fillId="0" fontId="21" numFmtId="0" xfId="0" applyAlignment="1" applyBorder="1" applyFont="1">
      <alignment horizontal="center" shrinkToFit="1" vertical="center" wrapText="0"/>
    </xf>
    <xf borderId="10" fillId="0" fontId="22" numFmtId="166" xfId="0" applyAlignment="1" applyBorder="1" applyFont="1" applyNumberFormat="1">
      <alignment horizontal="left" shrinkToFit="0" vertical="center" wrapText="1"/>
    </xf>
    <xf borderId="19" fillId="3" fontId="3" numFmtId="0" xfId="0" applyAlignment="1" applyBorder="1" applyFont="1">
      <alignment horizontal="center" vertical="center"/>
    </xf>
    <xf borderId="17" fillId="0" fontId="16" numFmtId="166" xfId="0" applyAlignment="1" applyBorder="1" applyFont="1" applyNumberFormat="1">
      <alignment horizontal="center" readingOrder="0" vertical="center"/>
    </xf>
    <xf borderId="20" fillId="0" fontId="16" numFmtId="166" xfId="0" applyAlignment="1" applyBorder="1" applyFont="1" applyNumberFormat="1">
      <alignment horizontal="center" vertical="center"/>
    </xf>
    <xf borderId="10" fillId="0" fontId="22" numFmtId="166" xfId="0" applyAlignment="1" applyBorder="1" applyFont="1" applyNumberFormat="1">
      <alignment shrinkToFit="0" vertical="center" wrapText="1"/>
    </xf>
    <xf borderId="15" fillId="0" fontId="23" numFmtId="0" xfId="0" applyAlignment="1" applyBorder="1" applyFont="1">
      <alignment horizontal="center" shrinkToFit="1" vertical="center" wrapText="0"/>
    </xf>
    <xf borderId="10" fillId="0" fontId="24" numFmtId="0" xfId="0" applyAlignment="1" applyBorder="1" applyFont="1">
      <alignment horizontal="center" shrinkToFit="1" vertical="center" wrapText="0"/>
    </xf>
    <xf borderId="18" fillId="0" fontId="25" numFmtId="167" xfId="0" applyAlignment="1" applyBorder="1" applyFont="1" applyNumberFormat="1">
      <alignment horizontal="center" vertical="center"/>
    </xf>
    <xf borderId="17" fillId="0" fontId="25" numFmtId="166" xfId="0" applyAlignment="1" applyBorder="1" applyFont="1" applyNumberFormat="1">
      <alignment horizontal="center" vertical="center"/>
    </xf>
    <xf borderId="20" fillId="0" fontId="25" numFmtId="166" xfId="0" applyAlignment="1" applyBorder="1" applyFont="1" applyNumberFormat="1">
      <alignment horizontal="center" vertical="center"/>
    </xf>
    <xf borderId="10" fillId="0" fontId="26" numFmtId="166" xfId="0" applyAlignment="1" applyBorder="1" applyFont="1" applyNumberFormat="1">
      <alignment horizontal="center"/>
    </xf>
    <xf borderId="21" fillId="0" fontId="26" numFmtId="166" xfId="0" applyAlignment="1" applyBorder="1" applyFont="1" applyNumberFormat="1">
      <alignment horizontal="center"/>
    </xf>
    <xf borderId="15" fillId="3" fontId="27" numFmtId="0" xfId="0" applyAlignment="1" applyBorder="1" applyFont="1">
      <alignment horizontal="center"/>
    </xf>
    <xf borderId="22" fillId="0" fontId="5" numFmtId="0" xfId="0" applyBorder="1" applyFont="1"/>
    <xf borderId="15" fillId="0" fontId="24" numFmtId="0" xfId="0" applyAlignment="1" applyBorder="1" applyFont="1">
      <alignment horizontal="left" vertical="top"/>
    </xf>
    <xf borderId="23" fillId="0" fontId="2" numFmtId="0" xfId="0" applyAlignment="1" applyBorder="1" applyFont="1">
      <alignment horizontal="right" vertical="center"/>
    </xf>
    <xf borderId="24" fillId="0" fontId="5" numFmtId="0" xfId="0" applyBorder="1" applyFont="1"/>
    <xf borderId="25" fillId="0" fontId="5" numFmtId="0" xfId="0" applyBorder="1" applyFont="1"/>
    <xf borderId="23" fillId="0" fontId="28" numFmtId="168" xfId="0" applyAlignment="1" applyBorder="1" applyFont="1" applyNumberFormat="1">
      <alignment horizontal="right" vertical="center"/>
    </xf>
    <xf borderId="21" fillId="0" fontId="28" numFmtId="168" xfId="0" applyBorder="1" applyFont="1" applyNumberFormat="1"/>
    <xf borderId="15" fillId="0" fontId="2" numFmtId="0" xfId="0" applyAlignment="1" applyBorder="1" applyFont="1">
      <alignment horizontal="right" vertical="center"/>
    </xf>
    <xf borderId="10" fillId="0" fontId="29" numFmtId="166" xfId="0" applyAlignment="1" applyBorder="1" applyFont="1" applyNumberFormat="1">
      <alignment vertical="center"/>
    </xf>
    <xf borderId="10" fillId="0" fontId="28" numFmtId="168" xfId="0" applyBorder="1" applyFont="1" applyNumberFormat="1"/>
    <xf borderId="0" fillId="0" fontId="23" numFmtId="0" xfId="0" applyAlignment="1" applyFont="1">
      <alignment horizontal="left" vertical="center"/>
    </xf>
    <xf borderId="0" fillId="0" fontId="23" numFmtId="0" xfId="0" applyFont="1"/>
    <xf borderId="0" fillId="0" fontId="30" numFmtId="0" xfId="0" applyFont="1"/>
    <xf borderId="0" fillId="0" fontId="3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971550</xdr:colOff>
      <xdr:row>11</xdr:row>
      <xdr:rowOff>9525</xdr:rowOff>
    </xdr:from>
    <xdr:ext cx="904875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200025</xdr:colOff>
      <xdr:row>5</xdr:row>
      <xdr:rowOff>95250</xdr:rowOff>
    </xdr:from>
    <xdr:ext cx="1143000" cy="752475"/>
    <xdr:pic>
      <xdr:nvPicPr>
        <xdr:cNvPr descr="コンパクトディスク, 凧 が含まれている画像&#10;&#10;自動的に生成された説明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971550</xdr:colOff>
      <xdr:row>11</xdr:row>
      <xdr:rowOff>9525</xdr:rowOff>
    </xdr:from>
    <xdr:ext cx="904875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200025</xdr:colOff>
      <xdr:row>5</xdr:row>
      <xdr:rowOff>95250</xdr:rowOff>
    </xdr:from>
    <xdr:ext cx="1143000" cy="752475"/>
    <xdr:pic>
      <xdr:nvPicPr>
        <xdr:cNvPr descr="コンパクトディスク, 凧 が含まれている画像&#10;&#10;自動的に生成された説明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7.43"/>
    <col customWidth="1" min="3" max="3" width="4.43"/>
    <col customWidth="1" min="4" max="5" width="6.86"/>
    <col customWidth="1" min="6" max="7" width="12.71"/>
    <col customWidth="1" min="8" max="8" width="25.43"/>
    <col customWidth="1" min="9" max="9" width="9.14"/>
    <col customWidth="1" min="10" max="10" width="10.71"/>
  </cols>
  <sheetData>
    <row r="1" ht="21.0" customHeight="1">
      <c r="A1" s="1"/>
      <c r="B1" s="1"/>
      <c r="C1" s="1"/>
      <c r="D1" s="1"/>
      <c r="E1" s="2"/>
      <c r="F1" s="2"/>
      <c r="G1" s="3" t="s">
        <v>0</v>
      </c>
      <c r="H1" s="4">
        <f>TODAY()</f>
        <v>45975</v>
      </c>
    </row>
    <row r="2" ht="18.75" customHeight="1">
      <c r="A2" s="1"/>
      <c r="B2" s="1"/>
      <c r="C2" s="1"/>
      <c r="D2" s="1"/>
      <c r="E2" s="2"/>
      <c r="F2" s="2"/>
      <c r="G2" s="3" t="s">
        <v>1</v>
      </c>
      <c r="H2" s="5" t="s">
        <v>2</v>
      </c>
    </row>
    <row r="3" ht="6.75" customHeight="1">
      <c r="A3" s="1"/>
      <c r="B3" s="1"/>
      <c r="C3" s="1"/>
      <c r="D3" s="1"/>
      <c r="E3" s="1"/>
      <c r="F3" s="1"/>
      <c r="G3" s="1"/>
      <c r="H3" s="1"/>
    </row>
    <row r="4" ht="26.25" customHeight="1">
      <c r="A4" s="6" t="s">
        <v>3</v>
      </c>
      <c r="B4" s="7"/>
      <c r="C4" s="7"/>
      <c r="D4" s="7"/>
      <c r="E4" s="7"/>
      <c r="F4" s="7"/>
      <c r="G4" s="7"/>
      <c r="H4" s="8"/>
      <c r="I4" s="9"/>
      <c r="J4" s="9"/>
    </row>
    <row r="5" ht="8.25" customHeight="1">
      <c r="A5" s="1"/>
      <c r="B5" s="1"/>
      <c r="C5" s="1"/>
      <c r="D5" s="1"/>
      <c r="E5" s="1"/>
      <c r="F5" s="1"/>
      <c r="G5" s="1"/>
      <c r="H5" s="1"/>
    </row>
    <row r="6" ht="21.75" customHeight="1">
      <c r="A6" s="10" t="s">
        <v>4</v>
      </c>
      <c r="B6" s="10"/>
      <c r="C6" s="10"/>
      <c r="D6" s="10"/>
      <c r="E6" s="10"/>
      <c r="F6" s="10"/>
      <c r="G6" s="1"/>
      <c r="H6" s="1"/>
    </row>
    <row r="7" ht="9.0" customHeight="1">
      <c r="A7" s="1"/>
      <c r="B7" s="1"/>
      <c r="C7" s="1"/>
      <c r="D7" s="1"/>
      <c r="E7" s="1"/>
      <c r="F7" s="1"/>
      <c r="G7" s="1"/>
      <c r="H7" s="1"/>
    </row>
    <row r="8" ht="17.25" customHeight="1">
      <c r="A8" s="11" t="s">
        <v>5</v>
      </c>
      <c r="B8" s="1"/>
      <c r="C8" s="1"/>
      <c r="D8" s="1"/>
      <c r="E8" s="1"/>
      <c r="F8" s="1"/>
      <c r="G8" s="1"/>
      <c r="H8" s="1"/>
    </row>
    <row r="9" ht="9.0" customHeight="1">
      <c r="A9" s="1"/>
      <c r="B9" s="1"/>
      <c r="C9" s="1"/>
      <c r="D9" s="1"/>
      <c r="E9" s="1"/>
      <c r="F9" s="1"/>
      <c r="G9" s="1"/>
      <c r="H9" s="1"/>
    </row>
    <row r="10" ht="16.5" customHeight="1">
      <c r="A10" s="12" t="s">
        <v>6</v>
      </c>
      <c r="B10" s="1"/>
      <c r="C10" s="1"/>
      <c r="D10" s="1"/>
      <c r="E10" s="1"/>
      <c r="F10" s="1"/>
      <c r="G10" s="13" t="s">
        <v>7</v>
      </c>
      <c r="H10" s="1"/>
    </row>
    <row r="11" ht="16.5" customHeight="1">
      <c r="A11" s="1"/>
      <c r="B11" s="1"/>
      <c r="C11" s="1"/>
      <c r="D11" s="1"/>
      <c r="E11" s="1"/>
      <c r="F11" s="1"/>
      <c r="G11" s="13" t="s">
        <v>8</v>
      </c>
      <c r="H11" s="1"/>
    </row>
    <row r="12" ht="16.5" customHeight="1">
      <c r="A12" s="14" t="s">
        <v>9</v>
      </c>
      <c r="B12" s="15"/>
      <c r="C12" s="16">
        <f>SUM(G33)</f>
        <v>66000</v>
      </c>
      <c r="D12" s="17"/>
      <c r="E12" s="15"/>
      <c r="F12" s="18"/>
      <c r="G12" s="13" t="s">
        <v>10</v>
      </c>
      <c r="H12" s="1"/>
    </row>
    <row r="13" ht="16.5" customHeight="1">
      <c r="A13" s="19"/>
      <c r="B13" s="20"/>
      <c r="C13" s="19"/>
      <c r="D13" s="21"/>
      <c r="E13" s="20"/>
      <c r="F13" s="18"/>
      <c r="G13" s="13" t="s">
        <v>11</v>
      </c>
      <c r="H13" s="1"/>
    </row>
    <row r="14" ht="16.5" customHeight="1">
      <c r="A14" s="1"/>
      <c r="B14" s="1"/>
      <c r="C14" s="1"/>
      <c r="D14" s="1"/>
      <c r="E14" s="1"/>
      <c r="F14" s="1"/>
      <c r="G14" s="13" t="s">
        <v>12</v>
      </c>
      <c r="H14" s="1"/>
    </row>
    <row r="15" ht="20.25" customHeight="1">
      <c r="A15" s="1" t="s">
        <v>13</v>
      </c>
      <c r="B15" s="1"/>
      <c r="C15" s="1"/>
      <c r="D15" s="1"/>
      <c r="E15" s="1"/>
      <c r="F15" s="1"/>
      <c r="G15" s="22"/>
      <c r="H15" s="1"/>
    </row>
    <row r="16" ht="9.75" customHeight="1">
      <c r="A16" s="1"/>
      <c r="B16" s="1"/>
      <c r="C16" s="1"/>
      <c r="D16" s="1"/>
      <c r="E16" s="1"/>
      <c r="F16" s="1"/>
      <c r="G16" s="1"/>
      <c r="H16" s="1"/>
    </row>
    <row r="17" ht="18.75" customHeight="1">
      <c r="A17" s="23" t="s">
        <v>14</v>
      </c>
      <c r="B17" s="24" t="s">
        <v>15</v>
      </c>
      <c r="C17" s="25"/>
      <c r="D17" s="26" t="s">
        <v>16</v>
      </c>
      <c r="E17" s="27" t="s">
        <v>17</v>
      </c>
      <c r="F17" s="26" t="s">
        <v>18</v>
      </c>
      <c r="G17" s="28" t="s">
        <v>19</v>
      </c>
      <c r="H17" s="26" t="s">
        <v>20</v>
      </c>
    </row>
    <row r="18" ht="30.75" customHeight="1">
      <c r="A18" s="29">
        <v>1.0</v>
      </c>
      <c r="B18" s="30" t="s">
        <v>21</v>
      </c>
      <c r="C18" s="31"/>
      <c r="D18" s="32">
        <v>1.0</v>
      </c>
      <c r="E18" s="32">
        <v>1.0</v>
      </c>
      <c r="F18" s="33" t="s">
        <v>22</v>
      </c>
      <c r="G18" s="33">
        <v>50000.0</v>
      </c>
      <c r="H18" s="34" t="s">
        <v>23</v>
      </c>
    </row>
    <row r="19" ht="23.25" customHeight="1">
      <c r="A19" s="29">
        <v>2.0</v>
      </c>
      <c r="B19" s="35"/>
      <c r="C19" s="31"/>
      <c r="D19" s="32"/>
      <c r="E19" s="36"/>
      <c r="F19" s="37"/>
      <c r="G19" s="37"/>
      <c r="H19" s="38"/>
    </row>
    <row r="20" ht="25.5" customHeight="1">
      <c r="A20" s="29">
        <v>3.0</v>
      </c>
      <c r="B20" s="39"/>
      <c r="C20" s="31"/>
      <c r="D20" s="32"/>
      <c r="E20" s="32"/>
      <c r="F20" s="33"/>
      <c r="G20" s="33"/>
      <c r="H20" s="40"/>
    </row>
    <row r="21" ht="23.25" customHeight="1">
      <c r="A21" s="29">
        <v>4.0</v>
      </c>
      <c r="B21" s="35"/>
      <c r="C21" s="31"/>
      <c r="D21" s="32"/>
      <c r="E21" s="32"/>
      <c r="F21" s="33"/>
      <c r="G21" s="33"/>
      <c r="H21" s="40"/>
    </row>
    <row r="22" ht="15.75" customHeight="1">
      <c r="A22" s="23" t="s">
        <v>14</v>
      </c>
      <c r="B22" s="24" t="s">
        <v>24</v>
      </c>
      <c r="C22" s="25"/>
      <c r="D22" s="26" t="s">
        <v>16</v>
      </c>
      <c r="E22" s="27" t="s">
        <v>17</v>
      </c>
      <c r="F22" s="26" t="s">
        <v>18</v>
      </c>
      <c r="G22" s="28" t="s">
        <v>19</v>
      </c>
      <c r="H22" s="41" t="s">
        <v>20</v>
      </c>
    </row>
    <row r="23" ht="30.0" customHeight="1">
      <c r="A23" s="29">
        <v>5.0</v>
      </c>
      <c r="B23" s="30" t="s">
        <v>25</v>
      </c>
      <c r="C23" s="31"/>
      <c r="D23" s="32">
        <v>1.0</v>
      </c>
      <c r="E23" s="32">
        <v>1.0</v>
      </c>
      <c r="F23" s="42">
        <v>10000.0</v>
      </c>
      <c r="G23" s="43">
        <f>D23*E23*F23</f>
        <v>10000</v>
      </c>
      <c r="H23" s="40" t="s">
        <v>26</v>
      </c>
    </row>
    <row r="24" ht="23.25" customHeight="1">
      <c r="A24" s="29">
        <v>6.0</v>
      </c>
      <c r="B24" s="35"/>
      <c r="C24" s="31"/>
      <c r="D24" s="32"/>
      <c r="E24" s="32"/>
      <c r="F24" s="33"/>
      <c r="G24" s="43"/>
      <c r="H24" s="44" t="s">
        <v>27</v>
      </c>
    </row>
    <row r="25" ht="23.25" customHeight="1">
      <c r="A25" s="29">
        <v>7.0</v>
      </c>
      <c r="B25" s="35"/>
      <c r="C25" s="31"/>
      <c r="D25" s="32"/>
      <c r="E25" s="32"/>
      <c r="F25" s="33"/>
      <c r="G25" s="43"/>
      <c r="H25" s="40"/>
    </row>
    <row r="26" ht="23.25" customHeight="1">
      <c r="A26" s="29">
        <v>8.0</v>
      </c>
      <c r="B26" s="45"/>
      <c r="C26" s="31"/>
      <c r="D26" s="46"/>
      <c r="E26" s="47"/>
      <c r="F26" s="48"/>
      <c r="G26" s="49"/>
      <c r="H26" s="50"/>
    </row>
    <row r="27" ht="23.25" customHeight="1">
      <c r="A27" s="29">
        <v>9.0</v>
      </c>
      <c r="B27" s="45"/>
      <c r="C27" s="31"/>
      <c r="D27" s="46"/>
      <c r="E27" s="47"/>
      <c r="F27" s="48"/>
      <c r="G27" s="48"/>
      <c r="H27" s="51"/>
    </row>
    <row r="28" ht="15.75" customHeight="1">
      <c r="A28" s="52" t="s">
        <v>28</v>
      </c>
      <c r="B28" s="53"/>
      <c r="C28" s="53"/>
      <c r="D28" s="53"/>
      <c r="E28" s="53"/>
      <c r="F28" s="53"/>
      <c r="G28" s="53"/>
      <c r="H28" s="31"/>
    </row>
    <row r="29" ht="37.5" customHeight="1">
      <c r="A29" s="54"/>
      <c r="B29" s="53"/>
      <c r="C29" s="53"/>
      <c r="D29" s="53"/>
      <c r="E29" s="53"/>
      <c r="F29" s="53"/>
      <c r="G29" s="53"/>
      <c r="H29" s="31"/>
    </row>
    <row r="30" ht="13.5" customHeight="1">
      <c r="A30" s="55" t="s">
        <v>29</v>
      </c>
      <c r="B30" s="56"/>
      <c r="C30" s="56"/>
      <c r="D30" s="56"/>
      <c r="E30" s="56"/>
      <c r="F30" s="57"/>
      <c r="G30" s="58">
        <f>SUM(G18:G21,G23:G25)</f>
        <v>60000</v>
      </c>
      <c r="H30" s="59"/>
    </row>
    <row r="31" ht="13.5" customHeight="1">
      <c r="A31" s="60" t="s">
        <v>30</v>
      </c>
      <c r="B31" s="53"/>
      <c r="C31" s="53"/>
      <c r="D31" s="53"/>
      <c r="E31" s="53"/>
      <c r="F31" s="31"/>
      <c r="G31" s="58">
        <f>G30*0.1</f>
        <v>6000</v>
      </c>
      <c r="H31" s="61"/>
    </row>
    <row r="32" ht="13.5" customHeight="1">
      <c r="A32" s="60"/>
      <c r="B32" s="53"/>
      <c r="C32" s="53"/>
      <c r="D32" s="53"/>
      <c r="E32" s="53"/>
      <c r="F32" s="31"/>
      <c r="G32" s="58"/>
      <c r="H32" s="61"/>
    </row>
    <row r="33" ht="13.5" customHeight="1">
      <c r="A33" s="60" t="s">
        <v>31</v>
      </c>
      <c r="B33" s="53"/>
      <c r="C33" s="53"/>
      <c r="D33" s="53"/>
      <c r="E33" s="53"/>
      <c r="F33" s="31"/>
      <c r="G33" s="58">
        <f>SUM(G30:G32)</f>
        <v>66000</v>
      </c>
      <c r="H33" s="62"/>
    </row>
    <row r="34" ht="13.5" customHeight="1">
      <c r="A34" s="63"/>
      <c r="B34" s="63"/>
      <c r="C34" s="64"/>
      <c r="D34" s="64"/>
      <c r="E34" s="64"/>
      <c r="F34" s="64"/>
      <c r="G34" s="64"/>
      <c r="H34" s="64"/>
      <c r="I34" s="65"/>
      <c r="J34" s="65"/>
    </row>
    <row r="35" ht="13.5" customHeight="1">
      <c r="A35" s="63"/>
      <c r="B35" s="63"/>
      <c r="C35" s="64"/>
      <c r="D35" s="64"/>
      <c r="E35" s="64"/>
      <c r="F35" s="64"/>
      <c r="G35" s="64"/>
      <c r="H35" s="64"/>
      <c r="I35" s="65"/>
      <c r="J35" s="65"/>
    </row>
    <row r="36" ht="13.5" customHeight="1">
      <c r="A36" s="63"/>
      <c r="B36" s="63"/>
      <c r="C36" s="64"/>
      <c r="D36" s="64"/>
      <c r="E36" s="64"/>
      <c r="F36" s="64"/>
      <c r="G36" s="64"/>
      <c r="H36" s="64"/>
      <c r="I36" s="65"/>
      <c r="J36" s="65"/>
    </row>
    <row r="37" ht="13.5" customHeight="1">
      <c r="A37" s="1"/>
      <c r="B37" s="1"/>
      <c r="C37" s="1"/>
      <c r="D37" s="1"/>
      <c r="E37" s="1"/>
      <c r="F37" s="1"/>
      <c r="G37" s="1"/>
      <c r="H37" s="1"/>
    </row>
    <row r="38" ht="13.5" customHeight="1">
      <c r="A38" s="66"/>
      <c r="B38" s="66"/>
      <c r="C38" s="66"/>
      <c r="D38" s="66"/>
      <c r="E38" s="66"/>
      <c r="F38" s="66"/>
      <c r="G38" s="66"/>
      <c r="H38" s="66"/>
    </row>
    <row r="39" ht="13.5" customHeight="1">
      <c r="A39" s="66"/>
      <c r="B39" s="66"/>
      <c r="C39" s="66"/>
      <c r="D39" s="66"/>
      <c r="E39" s="66"/>
      <c r="F39" s="66"/>
      <c r="G39" s="66"/>
      <c r="H39" s="66"/>
    </row>
    <row r="40" ht="13.5" customHeight="1">
      <c r="A40" s="66"/>
      <c r="B40" s="66"/>
      <c r="C40" s="66"/>
      <c r="D40" s="66"/>
      <c r="E40" s="66"/>
      <c r="F40" s="66"/>
      <c r="G40" s="66"/>
      <c r="H40" s="66"/>
    </row>
    <row r="41" ht="13.5" customHeight="1">
      <c r="A41" s="66"/>
      <c r="B41" s="66"/>
      <c r="C41" s="66"/>
      <c r="D41" s="66"/>
      <c r="E41" s="66"/>
      <c r="F41" s="66"/>
      <c r="G41" s="66"/>
      <c r="H41" s="66"/>
    </row>
    <row r="42" ht="13.5" customHeight="1">
      <c r="A42" s="66"/>
      <c r="B42" s="66"/>
      <c r="C42" s="66"/>
      <c r="D42" s="66"/>
      <c r="E42" s="66"/>
      <c r="F42" s="66"/>
      <c r="G42" s="66"/>
      <c r="H42" s="66"/>
    </row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4:H4"/>
    <mergeCell ref="A12:B13"/>
    <mergeCell ref="C12:E13"/>
    <mergeCell ref="B17:C17"/>
    <mergeCell ref="B18:C18"/>
    <mergeCell ref="B19:C19"/>
    <mergeCell ref="B20:C20"/>
    <mergeCell ref="A28:H28"/>
    <mergeCell ref="A29:H29"/>
    <mergeCell ref="A30:F30"/>
    <mergeCell ref="A31:F31"/>
    <mergeCell ref="A32:F32"/>
    <mergeCell ref="A33:F33"/>
    <mergeCell ref="B21:C21"/>
    <mergeCell ref="B22:C22"/>
    <mergeCell ref="B23:C23"/>
    <mergeCell ref="B24:C24"/>
    <mergeCell ref="B25:C25"/>
    <mergeCell ref="B26:C26"/>
    <mergeCell ref="B27:C27"/>
  </mergeCells>
  <printOptions horizontalCentered="1" verticalCentered="1"/>
  <pageMargins bottom="0.984251968503937" footer="0.0" header="0.0" left="0.7480314960629921" right="0.7480314960629921" top="0.984251968503937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7.43"/>
    <col customWidth="1" min="3" max="3" width="4.43"/>
    <col customWidth="1" min="4" max="5" width="6.86"/>
    <col customWidth="1" min="6" max="7" width="12.71"/>
    <col customWidth="1" min="8" max="8" width="25.43"/>
    <col customWidth="1" min="9" max="9" width="9.14"/>
    <col customWidth="1" min="10" max="10" width="10.71"/>
  </cols>
  <sheetData>
    <row r="1" ht="21.0" customHeight="1">
      <c r="A1" s="1"/>
      <c r="B1" s="1"/>
      <c r="C1" s="1"/>
      <c r="D1" s="1"/>
      <c r="E1" s="2"/>
      <c r="F1" s="2"/>
      <c r="G1" s="3" t="s">
        <v>0</v>
      </c>
      <c r="H1" s="4">
        <f>TODAY()</f>
        <v>45975</v>
      </c>
    </row>
    <row r="2" ht="18.75" customHeight="1">
      <c r="A2" s="1"/>
      <c r="B2" s="1"/>
      <c r="C2" s="1"/>
      <c r="D2" s="1"/>
      <c r="E2" s="2"/>
      <c r="F2" s="2"/>
      <c r="G2" s="3" t="s">
        <v>1</v>
      </c>
      <c r="H2" s="5" t="s">
        <v>2</v>
      </c>
    </row>
    <row r="3" ht="6.75" customHeight="1">
      <c r="A3" s="1"/>
      <c r="B3" s="1"/>
      <c r="C3" s="1"/>
      <c r="D3" s="1"/>
      <c r="E3" s="1"/>
      <c r="F3" s="1"/>
      <c r="G3" s="1"/>
      <c r="H3" s="1"/>
    </row>
    <row r="4" ht="26.25" customHeight="1">
      <c r="A4" s="6" t="s">
        <v>3</v>
      </c>
      <c r="B4" s="7"/>
      <c r="C4" s="7"/>
      <c r="D4" s="7"/>
      <c r="E4" s="7"/>
      <c r="F4" s="7"/>
      <c r="G4" s="7"/>
      <c r="H4" s="8"/>
      <c r="I4" s="9"/>
      <c r="J4" s="9"/>
    </row>
    <row r="5" ht="8.25" customHeight="1">
      <c r="A5" s="1"/>
      <c r="B5" s="1"/>
      <c r="C5" s="1"/>
      <c r="D5" s="1"/>
      <c r="E5" s="1"/>
      <c r="F5" s="1"/>
      <c r="G5" s="1"/>
      <c r="H5" s="1"/>
    </row>
    <row r="6" ht="21.75" customHeight="1">
      <c r="A6" s="10" t="s">
        <v>4</v>
      </c>
      <c r="B6" s="10"/>
      <c r="C6" s="10"/>
      <c r="D6" s="10"/>
      <c r="E6" s="10"/>
      <c r="F6" s="10"/>
      <c r="G6" s="1"/>
      <c r="H6" s="1"/>
    </row>
    <row r="7" ht="9.0" customHeight="1">
      <c r="A7" s="1"/>
      <c r="B7" s="1"/>
      <c r="C7" s="1"/>
      <c r="D7" s="1"/>
      <c r="E7" s="1"/>
      <c r="F7" s="1"/>
      <c r="G7" s="1"/>
      <c r="H7" s="1"/>
    </row>
    <row r="8" ht="17.25" customHeight="1">
      <c r="A8" s="11" t="s">
        <v>5</v>
      </c>
      <c r="B8" s="1"/>
      <c r="C8" s="1"/>
      <c r="D8" s="1"/>
      <c r="E8" s="1"/>
      <c r="F8" s="1"/>
      <c r="G8" s="1"/>
      <c r="H8" s="1"/>
    </row>
    <row r="9" ht="9.0" customHeight="1">
      <c r="A9" s="1"/>
      <c r="B9" s="1"/>
      <c r="C9" s="1"/>
      <c r="D9" s="1"/>
      <c r="E9" s="1"/>
      <c r="F9" s="1"/>
      <c r="G9" s="1"/>
      <c r="H9" s="1"/>
    </row>
    <row r="10" ht="16.5" customHeight="1">
      <c r="A10" s="12" t="s">
        <v>6</v>
      </c>
      <c r="B10" s="1"/>
      <c r="C10" s="1"/>
      <c r="D10" s="1"/>
      <c r="E10" s="1"/>
      <c r="F10" s="1"/>
      <c r="G10" s="13" t="s">
        <v>7</v>
      </c>
      <c r="H10" s="1"/>
    </row>
    <row r="11" ht="16.5" customHeight="1">
      <c r="A11" s="1"/>
      <c r="B11" s="1"/>
      <c r="C11" s="1"/>
      <c r="D11" s="1"/>
      <c r="E11" s="1"/>
      <c r="F11" s="1"/>
      <c r="G11" s="13" t="s">
        <v>8</v>
      </c>
      <c r="H11" s="1"/>
    </row>
    <row r="12" ht="16.5" customHeight="1">
      <c r="A12" s="14" t="s">
        <v>9</v>
      </c>
      <c r="B12" s="15"/>
      <c r="C12" s="16">
        <f>SUM(G34)</f>
        <v>1320000</v>
      </c>
      <c r="D12" s="17"/>
      <c r="E12" s="15"/>
      <c r="F12" s="18"/>
      <c r="G12" s="13" t="s">
        <v>10</v>
      </c>
      <c r="H12" s="1"/>
    </row>
    <row r="13" ht="16.5" customHeight="1">
      <c r="A13" s="19"/>
      <c r="B13" s="20"/>
      <c r="C13" s="19"/>
      <c r="D13" s="21"/>
      <c r="E13" s="20"/>
      <c r="F13" s="18"/>
      <c r="G13" s="13" t="s">
        <v>11</v>
      </c>
      <c r="H13" s="1"/>
    </row>
    <row r="14" ht="16.5" customHeight="1">
      <c r="A14" s="1"/>
      <c r="B14" s="1"/>
      <c r="C14" s="1"/>
      <c r="D14" s="1"/>
      <c r="E14" s="1"/>
      <c r="F14" s="1"/>
      <c r="G14" s="13" t="s">
        <v>12</v>
      </c>
      <c r="H14" s="1"/>
    </row>
    <row r="15" ht="20.25" customHeight="1">
      <c r="A15" s="1" t="s">
        <v>32</v>
      </c>
      <c r="B15" s="1"/>
      <c r="C15" s="1"/>
      <c r="D15" s="1"/>
      <c r="E15" s="1"/>
      <c r="F15" s="1"/>
      <c r="G15" s="22"/>
      <c r="H15" s="1"/>
    </row>
    <row r="16" ht="9.75" customHeight="1">
      <c r="A16" s="1"/>
      <c r="B16" s="1"/>
      <c r="C16" s="1"/>
      <c r="D16" s="1"/>
      <c r="E16" s="1"/>
      <c r="F16" s="1"/>
      <c r="G16" s="1"/>
      <c r="H16" s="1"/>
    </row>
    <row r="17" ht="18.75" customHeight="1">
      <c r="A17" s="23" t="s">
        <v>14</v>
      </c>
      <c r="B17" s="24" t="s">
        <v>15</v>
      </c>
      <c r="C17" s="25"/>
      <c r="D17" s="26" t="s">
        <v>16</v>
      </c>
      <c r="E17" s="27" t="s">
        <v>17</v>
      </c>
      <c r="F17" s="26" t="s">
        <v>18</v>
      </c>
      <c r="G17" s="28" t="s">
        <v>19</v>
      </c>
      <c r="H17" s="26" t="s">
        <v>20</v>
      </c>
    </row>
    <row r="18" ht="28.5" customHeight="1">
      <c r="A18" s="29">
        <v>1.0</v>
      </c>
      <c r="B18" s="30" t="s">
        <v>33</v>
      </c>
      <c r="C18" s="31"/>
      <c r="D18" s="32">
        <v>1.0</v>
      </c>
      <c r="E18" s="32" t="s">
        <v>22</v>
      </c>
      <c r="F18" s="33" t="s">
        <v>22</v>
      </c>
      <c r="G18" s="33">
        <v>300000.0</v>
      </c>
      <c r="H18" s="34"/>
    </row>
    <row r="19" ht="28.5" customHeight="1">
      <c r="A19" s="29">
        <v>2.0</v>
      </c>
      <c r="B19" s="30" t="s">
        <v>34</v>
      </c>
      <c r="C19" s="31"/>
      <c r="D19" s="32">
        <v>1.0</v>
      </c>
      <c r="E19" s="32" t="s">
        <v>22</v>
      </c>
      <c r="F19" s="33" t="s">
        <v>22</v>
      </c>
      <c r="G19" s="33">
        <v>300000.0</v>
      </c>
      <c r="H19" s="34"/>
    </row>
    <row r="20" ht="28.5" customHeight="1">
      <c r="A20" s="29">
        <v>3.0</v>
      </c>
      <c r="B20" s="30" t="s">
        <v>35</v>
      </c>
      <c r="C20" s="31"/>
      <c r="D20" s="32">
        <v>1.0</v>
      </c>
      <c r="E20" s="32" t="s">
        <v>22</v>
      </c>
      <c r="F20" s="33" t="s">
        <v>22</v>
      </c>
      <c r="G20" s="33">
        <v>300000.0</v>
      </c>
      <c r="H20" s="34"/>
    </row>
    <row r="21" ht="28.5" customHeight="1">
      <c r="A21" s="29">
        <v>4.0</v>
      </c>
      <c r="B21" s="30" t="s">
        <v>36</v>
      </c>
      <c r="C21" s="31"/>
      <c r="D21" s="32">
        <v>1.0</v>
      </c>
      <c r="E21" s="32" t="s">
        <v>22</v>
      </c>
      <c r="F21" s="33" t="s">
        <v>22</v>
      </c>
      <c r="G21" s="33">
        <v>300000.0</v>
      </c>
      <c r="H21" s="34"/>
    </row>
    <row r="22" ht="23.25" customHeight="1">
      <c r="A22" s="29">
        <v>5.0</v>
      </c>
      <c r="B22" s="30"/>
      <c r="C22" s="31"/>
      <c r="D22" s="32"/>
      <c r="E22" s="32"/>
      <c r="F22" s="33"/>
      <c r="G22" s="33"/>
      <c r="H22" s="40"/>
    </row>
    <row r="23" ht="15.75" customHeight="1">
      <c r="A23" s="23" t="s">
        <v>14</v>
      </c>
      <c r="B23" s="24" t="s">
        <v>24</v>
      </c>
      <c r="C23" s="25"/>
      <c r="D23" s="26" t="s">
        <v>16</v>
      </c>
      <c r="E23" s="27" t="s">
        <v>17</v>
      </c>
      <c r="F23" s="26" t="s">
        <v>18</v>
      </c>
      <c r="G23" s="28" t="s">
        <v>19</v>
      </c>
      <c r="H23" s="41" t="s">
        <v>20</v>
      </c>
    </row>
    <row r="24" ht="30.0" customHeight="1">
      <c r="A24" s="29">
        <v>6.0</v>
      </c>
      <c r="B24" s="30"/>
      <c r="C24" s="31"/>
      <c r="D24" s="32"/>
      <c r="E24" s="32"/>
      <c r="F24" s="33"/>
      <c r="G24" s="43"/>
      <c r="H24" s="40"/>
    </row>
    <row r="25" ht="23.25" customHeight="1">
      <c r="A25" s="29">
        <v>7.0</v>
      </c>
      <c r="B25" s="35"/>
      <c r="C25" s="31"/>
      <c r="D25" s="32"/>
      <c r="E25" s="32"/>
      <c r="F25" s="33"/>
      <c r="G25" s="43"/>
      <c r="H25" s="44"/>
    </row>
    <row r="26" ht="23.25" customHeight="1">
      <c r="A26" s="29">
        <v>8.0</v>
      </c>
      <c r="B26" s="35"/>
      <c r="C26" s="31"/>
      <c r="D26" s="32"/>
      <c r="E26" s="32"/>
      <c r="F26" s="33"/>
      <c r="G26" s="43"/>
      <c r="H26" s="40"/>
    </row>
    <row r="27" ht="23.25" customHeight="1">
      <c r="A27" s="29">
        <v>9.0</v>
      </c>
      <c r="B27" s="45"/>
      <c r="C27" s="31"/>
      <c r="D27" s="46"/>
      <c r="E27" s="47"/>
      <c r="F27" s="48"/>
      <c r="G27" s="49"/>
      <c r="H27" s="50"/>
    </row>
    <row r="28" ht="23.25" customHeight="1">
      <c r="A28" s="29">
        <v>10.0</v>
      </c>
      <c r="B28" s="45"/>
      <c r="C28" s="31"/>
      <c r="D28" s="46"/>
      <c r="E28" s="47"/>
      <c r="F28" s="48"/>
      <c r="G28" s="48"/>
      <c r="H28" s="51"/>
    </row>
    <row r="29" ht="15.75" customHeight="1">
      <c r="A29" s="52" t="s">
        <v>28</v>
      </c>
      <c r="B29" s="53"/>
      <c r="C29" s="53"/>
      <c r="D29" s="53"/>
      <c r="E29" s="53"/>
      <c r="F29" s="53"/>
      <c r="G29" s="53"/>
      <c r="H29" s="31"/>
    </row>
    <row r="30" ht="37.5" customHeight="1">
      <c r="A30" s="54"/>
      <c r="B30" s="53"/>
      <c r="C30" s="53"/>
      <c r="D30" s="53"/>
      <c r="E30" s="53"/>
      <c r="F30" s="53"/>
      <c r="G30" s="53"/>
      <c r="H30" s="31"/>
    </row>
    <row r="31" ht="13.5" customHeight="1">
      <c r="A31" s="55" t="s">
        <v>29</v>
      </c>
      <c r="B31" s="56"/>
      <c r="C31" s="56"/>
      <c r="D31" s="56"/>
      <c r="E31" s="56"/>
      <c r="F31" s="57"/>
      <c r="G31" s="58">
        <f>SUM(G18:G22,G24:G26)</f>
        <v>1200000</v>
      </c>
      <c r="H31" s="59"/>
    </row>
    <row r="32" ht="13.5" customHeight="1">
      <c r="A32" s="60" t="s">
        <v>30</v>
      </c>
      <c r="B32" s="53"/>
      <c r="C32" s="53"/>
      <c r="D32" s="53"/>
      <c r="E32" s="53"/>
      <c r="F32" s="31"/>
      <c r="G32" s="58">
        <f>G31*0.1</f>
        <v>120000</v>
      </c>
      <c r="H32" s="61"/>
    </row>
    <row r="33" ht="13.5" customHeight="1">
      <c r="A33" s="60"/>
      <c r="B33" s="53"/>
      <c r="C33" s="53"/>
      <c r="D33" s="53"/>
      <c r="E33" s="53"/>
      <c r="F33" s="31"/>
      <c r="G33" s="58"/>
      <c r="H33" s="61"/>
    </row>
    <row r="34" ht="13.5" customHeight="1">
      <c r="A34" s="60" t="s">
        <v>31</v>
      </c>
      <c r="B34" s="53"/>
      <c r="C34" s="53"/>
      <c r="D34" s="53"/>
      <c r="E34" s="53"/>
      <c r="F34" s="31"/>
      <c r="G34" s="58">
        <f>SUM(G31:G33)</f>
        <v>1320000</v>
      </c>
      <c r="H34" s="62"/>
    </row>
    <row r="35" ht="13.5" customHeight="1">
      <c r="A35" s="63"/>
      <c r="B35" s="63"/>
      <c r="C35" s="64"/>
      <c r="D35" s="64"/>
      <c r="E35" s="64"/>
      <c r="F35" s="64"/>
      <c r="G35" s="64"/>
      <c r="H35" s="64"/>
      <c r="I35" s="65"/>
      <c r="J35" s="65"/>
    </row>
    <row r="36" ht="13.5" customHeight="1">
      <c r="A36" s="63"/>
      <c r="B36" s="63"/>
      <c r="C36" s="64"/>
      <c r="D36" s="64"/>
      <c r="E36" s="64"/>
      <c r="F36" s="64"/>
      <c r="G36" s="64"/>
      <c r="H36" s="64"/>
      <c r="I36" s="65"/>
      <c r="J36" s="65"/>
    </row>
    <row r="37" ht="13.5" customHeight="1">
      <c r="A37" s="63"/>
      <c r="B37" s="63"/>
      <c r="C37" s="64"/>
      <c r="D37" s="64"/>
      <c r="E37" s="64"/>
      <c r="F37" s="64"/>
      <c r="G37" s="64"/>
      <c r="H37" s="64"/>
      <c r="I37" s="65"/>
      <c r="J37" s="65"/>
    </row>
    <row r="38" ht="13.5" customHeight="1">
      <c r="A38" s="1"/>
      <c r="B38" s="1"/>
      <c r="C38" s="1"/>
      <c r="D38" s="1"/>
      <c r="E38" s="1"/>
      <c r="F38" s="1"/>
      <c r="G38" s="1"/>
      <c r="H38" s="1"/>
    </row>
    <row r="39" ht="13.5" customHeight="1">
      <c r="A39" s="66"/>
      <c r="B39" s="66"/>
      <c r="C39" s="66"/>
      <c r="D39" s="66"/>
      <c r="E39" s="66"/>
      <c r="F39" s="66"/>
      <c r="G39" s="66"/>
      <c r="H39" s="66"/>
    </row>
    <row r="40" ht="13.5" customHeight="1">
      <c r="A40" s="66"/>
      <c r="B40" s="66"/>
      <c r="C40" s="66"/>
      <c r="D40" s="66"/>
      <c r="E40" s="66"/>
      <c r="F40" s="66"/>
      <c r="G40" s="66"/>
      <c r="H40" s="66"/>
    </row>
    <row r="41" ht="13.5" customHeight="1">
      <c r="A41" s="66"/>
      <c r="B41" s="66"/>
      <c r="C41" s="66"/>
      <c r="D41" s="66"/>
      <c r="E41" s="66"/>
      <c r="F41" s="66"/>
      <c r="G41" s="66"/>
      <c r="H41" s="66"/>
    </row>
    <row r="42" ht="13.5" customHeight="1">
      <c r="A42" s="66"/>
      <c r="B42" s="66"/>
      <c r="C42" s="66"/>
      <c r="D42" s="66"/>
      <c r="E42" s="66"/>
      <c r="F42" s="66"/>
      <c r="G42" s="66"/>
      <c r="H42" s="66"/>
    </row>
    <row r="43" ht="13.5" customHeight="1">
      <c r="A43" s="66"/>
      <c r="B43" s="66"/>
      <c r="C43" s="66"/>
      <c r="D43" s="66"/>
      <c r="E43" s="66"/>
      <c r="F43" s="66"/>
      <c r="G43" s="66"/>
      <c r="H43" s="66"/>
    </row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4:H4"/>
    <mergeCell ref="A12:B13"/>
    <mergeCell ref="C12:E13"/>
    <mergeCell ref="B17:C17"/>
    <mergeCell ref="B18:C18"/>
    <mergeCell ref="B19:C19"/>
    <mergeCell ref="B20:C20"/>
    <mergeCell ref="B28:C28"/>
    <mergeCell ref="A29:H29"/>
    <mergeCell ref="A30:H30"/>
    <mergeCell ref="A31:F31"/>
    <mergeCell ref="A32:F32"/>
    <mergeCell ref="A33:F33"/>
    <mergeCell ref="A34:F34"/>
    <mergeCell ref="B21:C21"/>
    <mergeCell ref="B22:C22"/>
    <mergeCell ref="B23:C23"/>
    <mergeCell ref="B24:C24"/>
    <mergeCell ref="B25:C25"/>
    <mergeCell ref="B26:C26"/>
    <mergeCell ref="B27:C27"/>
  </mergeCells>
  <printOptions horizontalCentered="1" verticalCentered="1"/>
  <pageMargins bottom="0.984251968503937" footer="0.0" header="0.0" left="0.7480314960629921" right="0.7480314960629921" top="0.984251968503937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2013-05-14T04:48:22Z</dcterms:created>
  <dc:creator>visccus04</dc:creator>
</cp:coreProperties>
</file>